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Cleaning_Log" sheetId="2" state="visible" r:id="rId4"/>
    <sheet name="Cleaned_Data" sheetId="3" state="visible" r:id="rId5"/>
    <sheet name="Summary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<sst xmlns="http://schemas.openxmlformats.org/spreadsheetml/2006/main" count="2233" uniqueCount="252">
  <si>
    <t xml:space="preserve">Order_ID</t>
  </si>
  <si>
    <t xml:space="preserve">Order_Date</t>
  </si>
  <si>
    <t xml:space="preserve">Region</t>
  </si>
  <si>
    <t xml:space="preserve">City</t>
  </si>
  <si>
    <t xml:space="preserve">Salesperson</t>
  </si>
  <si>
    <t xml:space="preserve">Category</t>
  </si>
  <si>
    <t xml:space="preserve">Product</t>
  </si>
  <si>
    <t xml:space="preserve">Customer_Type</t>
  </si>
  <si>
    <t xml:space="preserve">Units_Sold</t>
  </si>
  <si>
    <t xml:space="preserve">Unit_Price</t>
  </si>
  <si>
    <t xml:space="preserve">Discount</t>
  </si>
  <si>
    <t xml:space="preserve">ORD-1108</t>
  </si>
  <si>
    <t xml:space="preserve">West</t>
  </si>
  <si>
    <t xml:space="preserve">Pune</t>
  </si>
  <si>
    <t xml:space="preserve">Suresh Yadav</t>
  </si>
  <si>
    <t xml:space="preserve">Furniture</t>
  </si>
  <si>
    <t xml:space="preserve">Study Table</t>
  </si>
  <si>
    <t xml:space="preserve">Retail</t>
  </si>
  <si>
    <t xml:space="preserve">ORD-1075</t>
  </si>
  <si>
    <t xml:space="preserve">North</t>
  </si>
  <si>
    <t xml:space="preserve">Jaipur</t>
  </si>
  <si>
    <t xml:space="preserve">Vikas Jain</t>
  </si>
  <si>
    <t xml:space="preserve">Stationery</t>
  </si>
  <si>
    <t xml:space="preserve">Notebook Pack</t>
  </si>
  <si>
    <t xml:space="preserve">Online</t>
  </si>
  <si>
    <t xml:space="preserve">ORD-1010</t>
  </si>
  <si>
    <t xml:space="preserve">Pooja Meena</t>
  </si>
  <si>
    <t xml:space="preserve">Wholesale</t>
  </si>
  <si>
    <t xml:space="preserve">ORD-1101</t>
  </si>
  <si>
    <t xml:space="preserve">Rohit Singh</t>
  </si>
  <si>
    <t xml:space="preserve">Electronics</t>
  </si>
  <si>
    <t xml:space="preserve">Smartphone X1</t>
  </si>
  <si>
    <t xml:space="preserve">ORD-1005</t>
  </si>
  <si>
    <t xml:space="preserve">Bharatpur</t>
  </si>
  <si>
    <t xml:space="preserve">Kavita Joshi</t>
  </si>
  <si>
    <t xml:space="preserve">Printer Paper A4</t>
  </si>
  <si>
    <t xml:space="preserve">ORD-1089</t>
  </si>
  <si>
    <t xml:space="preserve">north</t>
  </si>
  <si>
    <t xml:space="preserve">Bengaluru</t>
  </si>
  <si>
    <t xml:space="preserve">ORD-1065</t>
  </si>
  <si>
    <t xml:space="preserve">East</t>
  </si>
  <si>
    <t xml:space="preserve">Lucknow</t>
  </si>
  <si>
    <t xml:space="preserve">Bookshelf</t>
  </si>
  <si>
    <t xml:space="preserve">ORD-1098</t>
  </si>
  <si>
    <t xml:space="preserve">Amit Sharma</t>
  </si>
  <si>
    <t xml:space="preserve">ORD-1036</t>
  </si>
  <si>
    <t xml:space="preserve">Kolkata</t>
  </si>
  <si>
    <t xml:space="preserve">Pen Box</t>
  </si>
  <si>
    <t xml:space="preserve">ORD-1033</t>
  </si>
  <si>
    <t xml:space="preserve">Office Chair</t>
  </si>
  <si>
    <t xml:space="preserve">ORD-1064</t>
  </si>
  <si>
    <t xml:space="preserve">Ahmedabad</t>
  </si>
  <si>
    <t xml:space="preserve">ORD-1092</t>
  </si>
  <si>
    <t xml:space="preserve">Neha Gupta</t>
  </si>
  <si>
    <t xml:space="preserve">ORD-1118</t>
  </si>
  <si>
    <t xml:space="preserve">ORD-1137</t>
  </si>
  <si>
    <t xml:space="preserve">Appliances</t>
  </si>
  <si>
    <t xml:space="preserve">Mixer Grinder</t>
  </si>
  <si>
    <t xml:space="preserve">ORD-1007</t>
  </si>
  <si>
    <t xml:space="preserve">ORD-1115</t>
  </si>
  <si>
    <t xml:space="preserve">ORD-1103</t>
  </si>
  <si>
    <t xml:space="preserve">South</t>
  </si>
  <si>
    <t xml:space="preserve">Chennai</t>
  </si>
  <si>
    <t xml:space="preserve">ORD-1147</t>
  </si>
  <si>
    <t xml:space="preserve">ORD-1039</t>
  </si>
  <si>
    <t xml:space="preserve">Priya Verma</t>
  </si>
  <si>
    <t xml:space="preserve">Bluetooth Speaker</t>
  </si>
  <si>
    <t xml:space="preserve">ORD-1131</t>
  </si>
  <si>
    <t xml:space="preserve">Agra</t>
  </si>
  <si>
    <t xml:space="preserve">ORD-1037</t>
  </si>
  <si>
    <t xml:space="preserve">Delhi</t>
  </si>
  <si>
    <t xml:space="preserve">ORD-1013</t>
  </si>
  <si>
    <t xml:space="preserve">Ceiling Fan</t>
  </si>
  <si>
    <t xml:space="preserve">ORD-1001</t>
  </si>
  <si>
    <t xml:space="preserve">ORD-1121</t>
  </si>
  <si>
    <t xml:space="preserve">ORD-1140</t>
  </si>
  <si>
    <t xml:space="preserve">ORD-1073</t>
  </si>
  <si>
    <t xml:space="preserve">ORD-1045</t>
  </si>
  <si>
    <t xml:space="preserve">Hyderabad</t>
  </si>
  <si>
    <t xml:space="preserve">Water Purifier</t>
  </si>
  <si>
    <t xml:space="preserve">ORD-1095</t>
  </si>
  <si>
    <t xml:space="preserve">Mumbai</t>
  </si>
  <si>
    <t xml:space="preserve">ORD-1128</t>
  </si>
  <si>
    <t xml:space="preserve">ORD-1028</t>
  </si>
  <si>
    <t xml:space="preserve">ORD-1070</t>
  </si>
  <si>
    <t xml:space="preserve">ORD-1051</t>
  </si>
  <si>
    <t xml:space="preserve">Laptop Pro 14</t>
  </si>
  <si>
    <t xml:space="preserve">ORD-1126</t>
  </si>
  <si>
    <t xml:space="preserve">ORD-1047</t>
  </si>
  <si>
    <t xml:space="preserve">ORD-1094</t>
  </si>
  <si>
    <t xml:space="preserve">Patna</t>
  </si>
  <si>
    <t xml:space="preserve">LED TV 32"</t>
  </si>
  <si>
    <t xml:space="preserve">ORD-1044</t>
  </si>
  <si>
    <t xml:space="preserve">ORD-1055</t>
  </si>
  <si>
    <t xml:space="preserve">ORD-1056</t>
  </si>
  <si>
    <t xml:space="preserve">ORD-1002</t>
  </si>
  <si>
    <t xml:space="preserve">ORD-1023</t>
  </si>
  <si>
    <t xml:space="preserve">ORD-1072</t>
  </si>
  <si>
    <t xml:space="preserve">ORD-1130</t>
  </si>
  <si>
    <t xml:space="preserve">ORD-1132</t>
  </si>
  <si>
    <t xml:space="preserve">ORD-1057</t>
  </si>
  <si>
    <t xml:space="preserve">ORD-1019</t>
  </si>
  <si>
    <t xml:space="preserve">ORD-1113</t>
  </si>
  <si>
    <t xml:space="preserve"> West </t>
  </si>
  <si>
    <t xml:space="preserve">ORD-1083</t>
  </si>
  <si>
    <t xml:space="preserve">ORD-1059</t>
  </si>
  <si>
    <t xml:space="preserve">ORD-1034</t>
  </si>
  <si>
    <t xml:space="preserve">ORD-1116</t>
  </si>
  <si>
    <t xml:space="preserve">ORD-1142</t>
  </si>
  <si>
    <t xml:space="preserve">ORD-1080</t>
  </si>
  <si>
    <t xml:space="preserve">ORD-1063</t>
  </si>
  <si>
    <t xml:space="preserve">ORD-1109</t>
  </si>
  <si>
    <t xml:space="preserve">ORD-1088</t>
  </si>
  <si>
    <t xml:space="preserve">ORD-1099</t>
  </si>
  <si>
    <t xml:space="preserve">ORD-1134</t>
  </si>
  <si>
    <t xml:space="preserve">ORD-1085</t>
  </si>
  <si>
    <t xml:space="preserve">ORD-1032</t>
  </si>
  <si>
    <t xml:space="preserve">ORD-1100</t>
  </si>
  <si>
    <t xml:space="preserve">ORD-1119</t>
  </si>
  <si>
    <t xml:space="preserve">ORD-1053</t>
  </si>
  <si>
    <t xml:space="preserve">ORD-1048</t>
  </si>
  <si>
    <t xml:space="preserve">ORD-1049</t>
  </si>
  <si>
    <t xml:space="preserve">ORD-1004</t>
  </si>
  <si>
    <t xml:space="preserve">ORD-1040</t>
  </si>
  <si>
    <t xml:space="preserve">ORD-1082</t>
  </si>
  <si>
    <t xml:space="preserve">ORD-1006</t>
  </si>
  <si>
    <t xml:space="preserve">ORD-1143</t>
  </si>
  <si>
    <t xml:space="preserve">ORD-1074</t>
  </si>
  <si>
    <t xml:space="preserve">ORD-1043</t>
  </si>
  <si>
    <t xml:space="preserve">ORD-1135</t>
  </si>
  <si>
    <t xml:space="preserve">ORD-1150</t>
  </si>
  <si>
    <t xml:space="preserve">ORD-1009</t>
  </si>
  <si>
    <t xml:space="preserve">ORD-1071</t>
  </si>
  <si>
    <t xml:space="preserve">ORD-1124</t>
  </si>
  <si>
    <t xml:space="preserve">ORD-1110</t>
  </si>
  <si>
    <t xml:space="preserve">ORD-1114</t>
  </si>
  <si>
    <t xml:space="preserve">ORD-1066</t>
  </si>
  <si>
    <t xml:space="preserve">ORD-1067</t>
  </si>
  <si>
    <t xml:space="preserve">ORD-1030</t>
  </si>
  <si>
    <t xml:space="preserve">ORD-1091</t>
  </si>
  <si>
    <t xml:space="preserve">ORD-1027</t>
  </si>
  <si>
    <t xml:space="preserve">ORD-1136</t>
  </si>
  <si>
    <t xml:space="preserve">ORD-1046</t>
  </si>
  <si>
    <t xml:space="preserve">ORD-1120</t>
  </si>
  <si>
    <t xml:space="preserve">ORD-1148</t>
  </si>
  <si>
    <t xml:space="preserve">ORD-1031</t>
  </si>
  <si>
    <t xml:space="preserve">ORD-1041</t>
  </si>
  <si>
    <t xml:space="preserve">ORD-1026</t>
  </si>
  <si>
    <t xml:space="preserve">ORD-1078</t>
  </si>
  <si>
    <t xml:space="preserve">ORD-1016</t>
  </si>
  <si>
    <t xml:space="preserve">ORD-1042</t>
  </si>
  <si>
    <t xml:space="preserve">ORD-1145</t>
  </si>
  <si>
    <t xml:space="preserve">ORD-1093</t>
  </si>
  <si>
    <t xml:space="preserve">ORD-1022</t>
  </si>
  <si>
    <t xml:space="preserve">ORD-1086</t>
  </si>
  <si>
    <t xml:space="preserve">ORD-1104</t>
  </si>
  <si>
    <t xml:space="preserve">ORD-1138</t>
  </si>
  <si>
    <t xml:space="preserve">ORD-1062</t>
  </si>
  <si>
    <t xml:space="preserve">ORD-1090</t>
  </si>
  <si>
    <t xml:space="preserve">ORD-1129</t>
  </si>
  <si>
    <t xml:space="preserve">ORD-1068</t>
  </si>
  <si>
    <t xml:space="preserve">ORD-1117</t>
  </si>
  <si>
    <t xml:space="preserve">ORD-1084</t>
  </si>
  <si>
    <t xml:space="preserve">ORD-1011</t>
  </si>
  <si>
    <t xml:space="preserve">ORD-1106</t>
  </si>
  <si>
    <t xml:space="preserve">ORD-1111</t>
  </si>
  <si>
    <t xml:space="preserve">ORD-1024</t>
  </si>
  <si>
    <t xml:space="preserve">ORD-1060</t>
  </si>
  <si>
    <t xml:space="preserve">ORD-1018</t>
  </si>
  <si>
    <t xml:space="preserve">ORD-1020</t>
  </si>
  <si>
    <t xml:space="preserve">ORD-1087</t>
  </si>
  <si>
    <t xml:space="preserve">ORD-1112</t>
  </si>
  <si>
    <t xml:space="preserve">ORD-1029</t>
  </si>
  <si>
    <t xml:space="preserve">ORD-1012</t>
  </si>
  <si>
    <t xml:space="preserve">ORD-1125</t>
  </si>
  <si>
    <t xml:space="preserve">ORD-1139</t>
  </si>
  <si>
    <t xml:space="preserve">ORD-1025</t>
  </si>
  <si>
    <t xml:space="preserve">ORD-1127</t>
  </si>
  <si>
    <t xml:space="preserve">ORD-1003</t>
  </si>
  <si>
    <t xml:space="preserve">ORD-1014</t>
  </si>
  <si>
    <t xml:space="preserve">ORD-1050</t>
  </si>
  <si>
    <t xml:space="preserve">ORD-1058</t>
  </si>
  <si>
    <t xml:space="preserve">ORD-1081</t>
  </si>
  <si>
    <t xml:space="preserve">ORD-1069</t>
  </si>
  <si>
    <t xml:space="preserve">ORD-1017</t>
  </si>
  <si>
    <t xml:space="preserve">ORD-1146</t>
  </si>
  <si>
    <t xml:space="preserve">ORD-1102</t>
  </si>
  <si>
    <t xml:space="preserve">ORD-1133</t>
  </si>
  <si>
    <t xml:space="preserve">ORD-1144</t>
  </si>
  <si>
    <t xml:space="preserve">ORD-1079</t>
  </si>
  <si>
    <t xml:space="preserve">ORD-1105</t>
  </si>
  <si>
    <t xml:space="preserve">ORD-1077</t>
  </si>
  <si>
    <t xml:space="preserve">ORD-1097</t>
  </si>
  <si>
    <t xml:space="preserve">ORD-1141</t>
  </si>
  <si>
    <t xml:space="preserve">ORD-1052</t>
  </si>
  <si>
    <t xml:space="preserve">ORD-1061</t>
  </si>
  <si>
    <t xml:space="preserve">ORD-1035</t>
  </si>
  <si>
    <t xml:space="preserve">ORD-1008</t>
  </si>
  <si>
    <t xml:space="preserve">ORD-1054</t>
  </si>
  <si>
    <t xml:space="preserve">ORD-1122</t>
  </si>
  <si>
    <t xml:space="preserve">ORD-1015</t>
  </si>
  <si>
    <t xml:space="preserve">ORD-1149</t>
  </si>
  <si>
    <t xml:space="preserve">ORD-1021</t>
  </si>
  <si>
    <t xml:space="preserve">ORD-1076</t>
  </si>
  <si>
    <t xml:space="preserve">ORD-1123</t>
  </si>
  <si>
    <t xml:space="preserve">ORD-1107</t>
  </si>
  <si>
    <t xml:space="preserve">ORD-1038</t>
  </si>
  <si>
    <t xml:space="preserve">ORD-1096</t>
  </si>
  <si>
    <t xml:space="preserve">Data Cleaning Log — Sales Performance Analysis</t>
  </si>
  <si>
    <t xml:space="preserve">Step</t>
  </si>
  <si>
    <t xml:space="preserve">Action Taken</t>
  </si>
  <si>
    <t xml:space="preserve">Raw rows loaded: 152</t>
  </si>
  <si>
    <t xml:space="preserve">Removed 2 duplicate row(s) for Order_ID(s): ['ORD-1041', 'ORD-1076']</t>
  </si>
  <si>
    <t xml:space="preserve">Standardized 'Region' column: trimmed whitespace, fixed casing (e.g. ' West ' -&gt; 'West', 'north' -&gt; 'North')</t>
  </si>
  <si>
    <t xml:space="preserve">Filled 1 missing 'Salesperson' value(s) with 'Unknown'</t>
  </si>
  <si>
    <t xml:space="preserve">Imputed 1 missing 'Units_Sold' value(s) using the median Units_Sold of the same Product Category</t>
  </si>
  <si>
    <t xml:space="preserve">Added derived column 'Revenue' = Units_Sold x Unit_Price x (1 - Discount)</t>
  </si>
  <si>
    <t xml:space="preserve">Added derived columns 'Order_Month' and 'Order_Month_Num' from Order_Date</t>
  </si>
  <si>
    <t xml:space="preserve">Revenue</t>
  </si>
  <si>
    <t xml:space="preserve">Order_Month</t>
  </si>
  <si>
    <t xml:space="preserve">Order_Month_Num</t>
  </si>
  <si>
    <t xml:space="preserve">Unknown</t>
  </si>
  <si>
    <t xml:space="preserve">SALES PERFORMANCE — SUMMARY KPIs</t>
  </si>
  <si>
    <t xml:space="preserve">Total Revenue (₹)</t>
  </si>
  <si>
    <t xml:space="preserve">Total Orders</t>
  </si>
  <si>
    <t xml:space="preserve">Total Units Sold</t>
  </si>
  <si>
    <t xml:space="preserve">Avg Order Value (₹)</t>
  </si>
  <si>
    <t xml:space="preserve">Avg Discount</t>
  </si>
  <si>
    <t xml:space="preserve">REVENUE BY REGION</t>
  </si>
  <si>
    <t xml:space="preserve">Revenue (₹)</t>
  </si>
  <si>
    <t xml:space="preserve">Orders</t>
  </si>
  <si>
    <t xml:space="preserve">Units Sold</t>
  </si>
  <si>
    <t xml:space="preserve">REVENUE BY CATEGORY</t>
  </si>
  <si>
    <t xml:space="preserve">REVENUE BY CUSTOMER TYPE</t>
  </si>
  <si>
    <t xml:space="preserve">Customer Type</t>
  </si>
  <si>
    <t xml:space="preserve">REVENUE BY SALESPERSON</t>
  </si>
  <si>
    <t xml:space="preserve">REVENUE BY PRODUCT</t>
  </si>
  <si>
    <t xml:space="preserve">MONTHLY REVENUE TREND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</si>
  <si>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</si>
  <si>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</si>
  <si>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</si>
  <si>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</si>
  <si>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</si>
  <si>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</si>
  <si>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</si>
  <si>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</si>
  <si>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</si>
  <si>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</si>
  <si>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</si>
  <si>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</si>
  <si>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</si>
  <si>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SALES PERFORMANCE DASHBOARD — 2025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</si>
</sst>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\ h:mm:ss"/>
    <numFmt numFmtId="166" formatCode="yyyy\-mm\-dd"/>
    <numFmt numFmtId="167" formatCode="#,##0"/>
    <numFmt numFmtId="168" formatCode="0%"/>
    <numFmt numFmtId="169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6"/>
      <color rgb="FF2E5EA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2E5EA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9D9D9"/>
      </patternFill>
    </fill>
    <fill>
      <patternFill patternType="solid">
        <fgColor rgb="FF2E5EAA"/>
        <bgColor rgb="FF4F81B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9F9F9"/>
      <rgbColor rgb="FFDCE6F1"/>
      <rgbColor rgb="FF660066"/>
      <rgbColor rgb="FFFF8080"/>
      <rgbColor rgb="FF2E5EA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Summary!$A$8:$A$12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/>
                </c:pt>
              </c:strCache>
            </c:strRef>
          </c:cat>
          <c:val>
            <c:numRef>
              <c:f>Summary!$B$8:$B$12</c:f>
              <c:numCache>
                <c:formatCode>#,##0</c:formatCode>
                <c:ptCount val="5"/>
                <c:pt idx="0">
                  <c:v>5321204</c:v>
                </c:pt>
                <c:pt idx="1">
                  <c:v>2191983</c:v>
                </c:pt>
                <c:pt idx="2">
                  <c:v>2436349.5</c:v>
                </c:pt>
                <c:pt idx="3">
                  <c:v>1972976.95</c:v>
                </c:pt>
              </c:numCache>
            </c:numRef>
          </c:val>
        </c:ser>
        <c:gapWidth val="150"/>
        <c:overlap val="0"/>
        <c:axId val="15225563"/>
        <c:axId val="26856708"/>
      </c:barChart>
      <c:catAx>
        <c:axId val="152255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856708"/>
        <c:crosses val="autoZero"/>
        <c:auto val="1"/>
        <c:lblAlgn val="ctr"/>
        <c:lblOffset val="100"/>
        <c:noMultiLvlLbl val="0"/>
      </c:catAx>
      <c:valAx>
        <c:axId val="268567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255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Summary!$A$16:$A$20</c:f>
              <c:strCache>
                <c:ptCount val="5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  <c:pt idx="4">
                  <c:v/>
                </c:pt>
              </c:strCache>
            </c:strRef>
          </c:cat>
          <c:val>
            <c:numRef>
              <c:f>Summary!$B$16:$B$20</c:f>
              <c:numCache>
                <c:formatCode>#,##0</c:formatCode>
                <c:ptCount val="5"/>
                <c:pt idx="0">
                  <c:v>2017255</c:v>
                </c:pt>
                <c:pt idx="1">
                  <c:v>7651326.45</c:v>
                </c:pt>
                <c:pt idx="2">
                  <c:v>2119190</c:v>
                </c:pt>
                <c:pt idx="3">
                  <c:v>134742</c:v>
                </c:pt>
              </c:numCache>
            </c:numRef>
          </c:val>
        </c:ser>
        <c:gapWidth val="150"/>
        <c:overlap val="0"/>
        <c:axId val="73788455"/>
        <c:axId val="27446546"/>
      </c:barChart>
      <c:catAx>
        <c:axId val="73788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446546"/>
        <c:crosses val="autoZero"/>
        <c:auto val="1"/>
        <c:lblAlgn val="ctr"/>
        <c:lblOffset val="100"/>
        <c:noMultiLvlLbl val="0"/>
      </c:catAx>
      <c:valAx>
        <c:axId val="27446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884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Summary!$A$61:$A$73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/>
                </c:pt>
              </c:strCache>
            </c:strRef>
          </c:cat>
          <c:val>
            <c:numRef>
              <c:f>Summary!$B$61:$B$73</c:f>
              <c:numCache>
                <c:formatCode>#,##0</c:formatCode>
                <c:ptCount val="13"/>
                <c:pt idx="0">
                  <c:v>344314.9</c:v>
                </c:pt>
                <c:pt idx="1">
                  <c:v>262610</c:v>
                </c:pt>
                <c:pt idx="2">
                  <c:v>758452</c:v>
                </c:pt>
                <c:pt idx="3">
                  <c:v>1994588</c:v>
                </c:pt>
                <c:pt idx="4">
                  <c:v>529113</c:v>
                </c:pt>
                <c:pt idx="5">
                  <c:v>1662506</c:v>
                </c:pt>
                <c:pt idx="6">
                  <c:v>1620862.5</c:v>
                </c:pt>
                <c:pt idx="7">
                  <c:v>1670562</c:v>
                </c:pt>
                <c:pt idx="8">
                  <c:v>938496.8</c:v>
                </c:pt>
                <c:pt idx="9">
                  <c:v>570792.5</c:v>
                </c:pt>
                <c:pt idx="10">
                  <c:v>653355.75</c:v>
                </c:pt>
                <c:pt idx="11">
                  <c:v>916860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385172"/>
        <c:axId val="12103694"/>
      </c:lineChart>
      <c:catAx>
        <c:axId val="353851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03694"/>
        <c:crosses val="autoZero"/>
        <c:auto val="1"/>
        <c:lblAlgn val="ctr"/>
        <c:lblOffset val="100"/>
        <c:noMultiLvlLbl val="0"/>
      </c:catAx>
      <c:valAx>
        <c:axId val="121036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851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Customer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Summary!$A$24:$A$27</c:f>
              <c:strCache>
                <c:ptCount val="4"/>
                <c:pt idx="0">
                  <c:v>Online</c:v>
                </c:pt>
                <c:pt idx="1">
                  <c:v>Retail</c:v>
                </c:pt>
                <c:pt idx="2">
                  <c:v>Wholesale</c:v>
                </c:pt>
                <c:pt idx="3">
                  <c:v/>
                </c:pt>
              </c:strCache>
            </c:strRef>
          </c:cat>
          <c:val>
            <c:numRef>
              <c:f>Summary!$B$24:$B$27</c:f>
              <c:numCache>
                <c:formatCode>#,##0</c:formatCode>
                <c:ptCount val="4"/>
                <c:pt idx="0">
                  <c:v>1517619.5</c:v>
                </c:pt>
                <c:pt idx="1">
                  <c:v>6347073.25</c:v>
                </c:pt>
                <c:pt idx="2">
                  <c:v>4057820.7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Summary!$A$44:$A$48</c:f>
              <c:strCache>
                <c:ptCount val="5"/>
                <c:pt idx="0">
                  <c:v>Laptop Pro 14</c:v>
                </c:pt>
                <c:pt idx="1">
                  <c:v>LED TV 32"</c:v>
                </c:pt>
                <c:pt idx="2">
                  <c:v>Water Purifier</c:v>
                </c:pt>
                <c:pt idx="3">
                  <c:v>Smartphone X1</c:v>
                </c:pt>
                <c:pt idx="4">
                  <c:v>Study Table</c:v>
                </c:pt>
              </c:strCache>
            </c:strRef>
          </c:cat>
          <c:val>
            <c:numRef>
              <c:f>Summary!$B$44:$B$48</c:f>
              <c:numCache>
                <c:formatCode>#,##0</c:formatCode>
                <c:ptCount val="5"/>
                <c:pt idx="0">
                  <c:v>4218125</c:v>
                </c:pt>
                <c:pt idx="1">
                  <c:v>2032900</c:v>
                </c:pt>
                <c:pt idx="2">
                  <c:v>1241550</c:v>
                </c:pt>
                <c:pt idx="3">
                  <c:v>1182501.45</c:v>
                </c:pt>
                <c:pt idx="4">
                  <c:v>1018550</c:v>
                </c:pt>
              </c:numCache>
            </c:numRef>
          </c:val>
        </c:ser>
        <c:gapWidth val="150"/>
        <c:overlap val="0"/>
        <c:axId val="33941037"/>
        <c:axId val="11638939"/>
      </c:barChart>
      <c:catAx>
        <c:axId val="339410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38939"/>
        <c:crosses val="autoZero"/>
        <c:auto val="1"/>
        <c:lblAlgn val="ctr"/>
        <c:lblOffset val="100"/>
        <c:noMultiLvlLbl val="0"/>
      </c:catAx>
      <c:valAx>
        <c:axId val="116389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410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Salesperson Performance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Summary!$A$31:$A$40</c:f>
              <c:strCache>
                <c:ptCount val="10"/>
                <c:pt idx="0">
                  <c:v>Amit Sharma</c:v>
                </c:pt>
                <c:pt idx="1">
                  <c:v>Kavita Joshi</c:v>
                </c:pt>
                <c:pt idx="2">
                  <c:v>Neha Gupta</c:v>
                </c:pt>
                <c:pt idx="3">
                  <c:v>Pooja Meena</c:v>
                </c:pt>
                <c:pt idx="4">
                  <c:v>Priya Verma</c:v>
                </c:pt>
                <c:pt idx="5">
                  <c:v>Rohit Singh</c:v>
                </c:pt>
                <c:pt idx="6">
                  <c:v>Suresh Yadav</c:v>
                </c:pt>
                <c:pt idx="7">
                  <c:v>Unknown</c:v>
                </c:pt>
                <c:pt idx="8">
                  <c:v>Vikas Jain</c:v>
                </c:pt>
                <c:pt idx="9">
                  <c:v/>
                </c:pt>
              </c:strCache>
            </c:strRef>
          </c:cat>
          <c:val>
            <c:numRef>
              <c:f>Summary!$B$31:$B$40</c:f>
              <c:numCache>
                <c:formatCode>#,##0</c:formatCode>
                <c:ptCount val="10"/>
                <c:pt idx="0">
                  <c:v>1469612.75</c:v>
                </c:pt>
                <c:pt idx="1">
                  <c:v>1582548</c:v>
                </c:pt>
                <c:pt idx="2">
                  <c:v>1324786.8</c:v>
                </c:pt>
                <c:pt idx="3">
                  <c:v>881412</c:v>
                </c:pt>
                <c:pt idx="4">
                  <c:v>1281889</c:v>
                </c:pt>
                <c:pt idx="5">
                  <c:v>1224080.9</c:v>
                </c:pt>
                <c:pt idx="6">
                  <c:v>1433717</c:v>
                </c:pt>
                <c:pt idx="7">
                  <c:v>27360</c:v>
                </c:pt>
                <c:pt idx="8">
                  <c:v>2697107</c:v>
                </c:pt>
              </c:numCache>
            </c:numRef>
          </c:val>
        </c:ser>
        <c:gapWidth val="150"/>
        <c:overlap val="0"/>
        <c:axId val="53211937"/>
        <c:axId val="84539659"/>
      </c:barChart>
      <c:catAx>
        <c:axId val="532119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539659"/>
        <c:crosses val="autoZero"/>
        <c:auto val="1"/>
        <c:lblAlgn val="ctr"/>
        <c:lblOffset val="100"/>
        <c:noMultiLvlLbl val="0"/>
      </c:catAx>
      <c:valAx>
        <c:axId val="845396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119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101160</xdr:rowOff>
    </xdr:from>
    <xdr:to>
      <xdr:col>5</xdr:col>
      <xdr:colOff>458280</xdr:colOff>
      <xdr:row>19</xdr:row>
      <xdr:rowOff>123120</xdr:rowOff>
    </xdr:to>
    <xdr:graphicFrame>
      <xdr:nvGraphicFramePr>
        <xdr:cNvPr id="0" name="Chart 1"/>
        <xdr:cNvGraphicFramePr/>
      </xdr:nvGraphicFramePr>
      <xdr:xfrm>
        <a:off x="0" y="952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4</xdr:row>
      <xdr:rowOff>101160</xdr:rowOff>
    </xdr:from>
    <xdr:to>
      <xdr:col>10</xdr:col>
      <xdr:colOff>151200</xdr:colOff>
      <xdr:row>19</xdr:row>
      <xdr:rowOff>123120</xdr:rowOff>
    </xdr:to>
    <xdr:graphicFrame>
      <xdr:nvGraphicFramePr>
        <xdr:cNvPr id="1" name="Chart 2"/>
        <xdr:cNvGraphicFramePr/>
      </xdr:nvGraphicFramePr>
      <xdr:xfrm>
        <a:off x="3665160" y="952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101160</xdr:rowOff>
    </xdr:from>
    <xdr:to>
      <xdr:col>5</xdr:col>
      <xdr:colOff>458280</xdr:colOff>
      <xdr:row>35</xdr:row>
      <xdr:rowOff>123120</xdr:rowOff>
    </xdr:to>
    <xdr:graphicFrame>
      <xdr:nvGraphicFramePr>
        <xdr:cNvPr id="2" name="Chart 3"/>
        <xdr:cNvGraphicFramePr/>
      </xdr:nvGraphicFramePr>
      <xdr:xfrm>
        <a:off x="0" y="4000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20</xdr:row>
      <xdr:rowOff>101160</xdr:rowOff>
    </xdr:from>
    <xdr:to>
      <xdr:col>10</xdr:col>
      <xdr:colOff>151200</xdr:colOff>
      <xdr:row>35</xdr:row>
      <xdr:rowOff>123120</xdr:rowOff>
    </xdr:to>
    <xdr:graphicFrame>
      <xdr:nvGraphicFramePr>
        <xdr:cNvPr id="3" name="Chart 4"/>
        <xdr:cNvGraphicFramePr/>
      </xdr:nvGraphicFramePr>
      <xdr:xfrm>
        <a:off x="3665160" y="4000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36</xdr:row>
      <xdr:rowOff>100800</xdr:rowOff>
    </xdr:from>
    <xdr:to>
      <xdr:col>5</xdr:col>
      <xdr:colOff>458280</xdr:colOff>
      <xdr:row>51</xdr:row>
      <xdr:rowOff>123120</xdr:rowOff>
    </xdr:to>
    <xdr:graphicFrame>
      <xdr:nvGraphicFramePr>
        <xdr:cNvPr id="4" name="Chart 5"/>
        <xdr:cNvGraphicFramePr/>
      </xdr:nvGraphicFramePr>
      <xdr:xfrm>
        <a:off x="0" y="7048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</xdr:col>
      <xdr:colOff>0</xdr:colOff>
      <xdr:row>36</xdr:row>
      <xdr:rowOff>100800</xdr:rowOff>
    </xdr:from>
    <xdr:to>
      <xdr:col>10</xdr:col>
      <xdr:colOff>151200</xdr:colOff>
      <xdr:row>51</xdr:row>
      <xdr:rowOff>123120</xdr:rowOff>
    </xdr:to>
    <xdr:graphicFrame>
      <xdr:nvGraphicFramePr>
        <xdr:cNvPr id="5" name="Chart 6"/>
        <xdr:cNvGraphicFramePr/>
      </xdr:nvGraphicFramePr>
      <xdr:xfrm>
        <a:off x="3665160" y="7048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eanedData" displayName="CleanedData" ref="A1:N151" headerRowCount="1" totalsRowCount="0" totalsRowShown="0">
  <autoFilter ref="A1:N151"/>
  <tableColumns count="14">
    <tableColumn id="1" name="Order_ID"/>
    <tableColumn id="2" name="Order_Date"/>
    <tableColumn id="3" name="Region"/>
    <tableColumn id="4" name="City"/>
    <tableColumn id="5" name="Salesperson"/>
    <tableColumn id="6" name="Category"/>
    <tableColumn id="7" name="Product"/>
    <tableColumn id="8" name="Customer_Type"/>
    <tableColumn id="9" name="Units_Sold"/>
    <tableColumn id="10" name="Unit_Price"/>
    <tableColumn id="11" name="Discount"/>
    <tableColumn id="12" name="Revenue"/>
    <tableColumn id="13" name="Order_Month"/>
    <tableColumn id="14" name="Order_Month_Nu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n">
        <v>45665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n">
        <v>18</v>
      </c>
      <c r="J2" s="2" t="n">
        <v>6500</v>
      </c>
      <c r="K2" s="2" t="n">
        <v>0</v>
      </c>
    </row>
    <row r="3" customFormat="false" ht="15" hidden="false" customHeight="false" outlineLevel="0" collapsed="false">
      <c r="A3" s="2" t="s">
        <v>18</v>
      </c>
      <c r="B3" s="3" t="n">
        <v>45671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n">
        <v>19</v>
      </c>
      <c r="J3" s="2" t="n">
        <v>240</v>
      </c>
      <c r="K3" s="2" t="n">
        <v>0.05</v>
      </c>
    </row>
    <row r="4" customFormat="false" ht="15" hidden="false" customHeight="false" outlineLevel="0" collapsed="false">
      <c r="A4" s="2" t="s">
        <v>25</v>
      </c>
      <c r="B4" s="3" t="n">
        <v>45674</v>
      </c>
      <c r="C4" s="2" t="s">
        <v>12</v>
      </c>
      <c r="D4" s="2" t="s">
        <v>13</v>
      </c>
      <c r="E4" s="2" t="s">
        <v>26</v>
      </c>
      <c r="F4" s="2" t="s">
        <v>22</v>
      </c>
      <c r="G4" s="2" t="s">
        <v>23</v>
      </c>
      <c r="H4" s="2" t="s">
        <v>27</v>
      </c>
      <c r="I4" s="2" t="n">
        <v>8</v>
      </c>
      <c r="J4" s="2" t="n">
        <v>240</v>
      </c>
      <c r="K4" s="2" t="n">
        <v>0</v>
      </c>
    </row>
    <row r="5" customFormat="false" ht="15" hidden="false" customHeight="false" outlineLevel="0" collapsed="false">
      <c r="A5" s="2" t="s">
        <v>28</v>
      </c>
      <c r="B5" s="3" t="n">
        <v>45678</v>
      </c>
      <c r="C5" s="2" t="s">
        <v>12</v>
      </c>
      <c r="D5" s="2" t="s">
        <v>13</v>
      </c>
      <c r="E5" s="2" t="s">
        <v>29</v>
      </c>
      <c r="F5" s="2" t="s">
        <v>30</v>
      </c>
      <c r="G5" s="2" t="s">
        <v>31</v>
      </c>
      <c r="H5" s="2" t="s">
        <v>27</v>
      </c>
      <c r="I5" s="2" t="n">
        <v>19</v>
      </c>
      <c r="J5" s="2" t="n">
        <v>11999</v>
      </c>
      <c r="K5" s="2" t="n">
        <v>0.1</v>
      </c>
    </row>
    <row r="6" customFormat="false" ht="15" hidden="false" customHeight="false" outlineLevel="0" collapsed="false">
      <c r="A6" s="2" t="s">
        <v>32</v>
      </c>
      <c r="B6" s="3" t="n">
        <v>45680</v>
      </c>
      <c r="C6" s="2" t="s">
        <v>19</v>
      </c>
      <c r="D6" s="2" t="s">
        <v>33</v>
      </c>
      <c r="E6" s="2" t="s">
        <v>34</v>
      </c>
      <c r="F6" s="2" t="s">
        <v>22</v>
      </c>
      <c r="G6" s="2" t="s">
        <v>35</v>
      </c>
      <c r="H6" s="2" t="s">
        <v>24</v>
      </c>
      <c r="I6" s="2" t="n">
        <v>9</v>
      </c>
      <c r="J6" s="2" t="n">
        <v>320</v>
      </c>
      <c r="K6" s="2" t="n">
        <v>0</v>
      </c>
    </row>
    <row r="7" customFormat="false" ht="15" hidden="false" customHeight="false" outlineLevel="0" collapsed="false">
      <c r="A7" s="2" t="s">
        <v>36</v>
      </c>
      <c r="B7" s="3" t="n">
        <v>45685</v>
      </c>
      <c r="C7" s="2" t="s">
        <v>37</v>
      </c>
      <c r="D7" s="2" t="s">
        <v>38</v>
      </c>
      <c r="E7" s="2" t="s">
        <v>21</v>
      </c>
      <c r="F7" s="2" t="s">
        <v>15</v>
      </c>
      <c r="G7" s="2" t="s">
        <v>16</v>
      </c>
      <c r="H7" s="2" t="s">
        <v>24</v>
      </c>
      <c r="I7" s="2" t="n">
        <v>2</v>
      </c>
      <c r="J7" s="2" t="n">
        <v>6500</v>
      </c>
      <c r="K7" s="2" t="n">
        <v>0</v>
      </c>
    </row>
    <row r="8" customFormat="false" ht="15" hidden="false" customHeight="false" outlineLevel="0" collapsed="false">
      <c r="A8" s="2" t="s">
        <v>39</v>
      </c>
      <c r="B8" s="3" t="n">
        <v>45690</v>
      </c>
      <c r="C8" s="2" t="s">
        <v>40</v>
      </c>
      <c r="D8" s="2" t="s">
        <v>41</v>
      </c>
      <c r="E8" s="2" t="s">
        <v>14</v>
      </c>
      <c r="F8" s="2" t="s">
        <v>15</v>
      </c>
      <c r="G8" s="2" t="s">
        <v>42</v>
      </c>
      <c r="H8" s="2" t="s">
        <v>27</v>
      </c>
      <c r="I8" s="2" t="n">
        <v>7</v>
      </c>
      <c r="J8" s="2" t="n">
        <v>3800</v>
      </c>
      <c r="K8" s="2" t="n">
        <v>0</v>
      </c>
    </row>
    <row r="9" customFormat="false" ht="15" hidden="false" customHeight="false" outlineLevel="0" collapsed="false">
      <c r="A9" s="2" t="s">
        <v>43</v>
      </c>
      <c r="B9" s="3" t="n">
        <v>45694</v>
      </c>
      <c r="C9" s="2" t="s">
        <v>12</v>
      </c>
      <c r="D9" s="2" t="s">
        <v>13</v>
      </c>
      <c r="E9" s="2" t="s">
        <v>44</v>
      </c>
      <c r="F9" s="2" t="s">
        <v>15</v>
      </c>
      <c r="G9" s="2" t="s">
        <v>16</v>
      </c>
      <c r="H9" s="2" t="s">
        <v>17</v>
      </c>
      <c r="I9" s="2" t="n">
        <v>5</v>
      </c>
      <c r="J9" s="2" t="n">
        <v>6500</v>
      </c>
      <c r="K9" s="2" t="n">
        <v>0</v>
      </c>
    </row>
    <row r="10" customFormat="false" ht="15" hidden="false" customHeight="false" outlineLevel="0" collapsed="false">
      <c r="A10" s="2" t="s">
        <v>45</v>
      </c>
      <c r="B10" s="3" t="n">
        <v>45695</v>
      </c>
      <c r="C10" s="2" t="s">
        <v>40</v>
      </c>
      <c r="D10" s="2" t="s">
        <v>46</v>
      </c>
      <c r="E10" s="2" t="s">
        <v>44</v>
      </c>
      <c r="F10" s="2" t="s">
        <v>22</v>
      </c>
      <c r="G10" s="2" t="s">
        <v>47</v>
      </c>
      <c r="H10" s="2" t="s">
        <v>27</v>
      </c>
      <c r="I10" s="2" t="n">
        <v>11</v>
      </c>
      <c r="J10" s="2" t="n">
        <v>120</v>
      </c>
      <c r="K10" s="2" t="n">
        <v>0.1</v>
      </c>
    </row>
    <row r="11" customFormat="false" ht="15" hidden="false" customHeight="false" outlineLevel="0" collapsed="false">
      <c r="A11" s="2" t="s">
        <v>48</v>
      </c>
      <c r="B11" s="3" t="n">
        <v>45699</v>
      </c>
      <c r="C11" s="2" t="s">
        <v>40</v>
      </c>
      <c r="D11" s="2" t="s">
        <v>41</v>
      </c>
      <c r="E11" s="2" t="s">
        <v>29</v>
      </c>
      <c r="F11" s="2" t="s">
        <v>15</v>
      </c>
      <c r="G11" s="2" t="s">
        <v>49</v>
      </c>
      <c r="H11" s="2" t="s">
        <v>17</v>
      </c>
      <c r="I11" s="2" t="n">
        <v>17</v>
      </c>
      <c r="J11" s="2" t="n">
        <v>4200</v>
      </c>
      <c r="K11" s="2" t="n">
        <v>0.1</v>
      </c>
    </row>
    <row r="12" customFormat="false" ht="15" hidden="false" customHeight="false" outlineLevel="0" collapsed="false">
      <c r="A12" s="2" t="s">
        <v>50</v>
      </c>
      <c r="B12" s="3" t="n">
        <v>45699</v>
      </c>
      <c r="C12" s="2" t="s">
        <v>12</v>
      </c>
      <c r="D12" s="2" t="s">
        <v>51</v>
      </c>
      <c r="E12" s="2" t="s">
        <v>29</v>
      </c>
      <c r="F12" s="2" t="s">
        <v>22</v>
      </c>
      <c r="G12" s="2" t="s">
        <v>47</v>
      </c>
      <c r="H12" s="2" t="s">
        <v>17</v>
      </c>
      <c r="I12" s="2" t="n">
        <v>18</v>
      </c>
      <c r="J12" s="2" t="n">
        <v>120</v>
      </c>
      <c r="K12" s="2" t="n">
        <v>0</v>
      </c>
    </row>
    <row r="13" customFormat="false" ht="15" hidden="false" customHeight="false" outlineLevel="0" collapsed="false">
      <c r="A13" s="2" t="s">
        <v>52</v>
      </c>
      <c r="B13" s="3" t="n">
        <v>45701</v>
      </c>
      <c r="C13" s="2" t="s">
        <v>19</v>
      </c>
      <c r="D13" s="2" t="s">
        <v>20</v>
      </c>
      <c r="E13" s="2" t="s">
        <v>53</v>
      </c>
      <c r="F13" s="2" t="s">
        <v>15</v>
      </c>
      <c r="G13" s="2" t="s">
        <v>42</v>
      </c>
      <c r="H13" s="2" t="s">
        <v>17</v>
      </c>
      <c r="I13" s="2" t="n">
        <v>10</v>
      </c>
      <c r="J13" s="2" t="n">
        <v>3800</v>
      </c>
      <c r="K13" s="2" t="n">
        <v>0.1</v>
      </c>
    </row>
    <row r="14" customFormat="false" ht="15" hidden="false" customHeight="false" outlineLevel="0" collapsed="false">
      <c r="A14" s="2" t="s">
        <v>54</v>
      </c>
      <c r="B14" s="3" t="n">
        <v>45704</v>
      </c>
      <c r="C14" s="2" t="s">
        <v>12</v>
      </c>
      <c r="D14" s="2" t="s">
        <v>13</v>
      </c>
      <c r="E14" s="2" t="s">
        <v>14</v>
      </c>
      <c r="F14" s="2" t="s">
        <v>22</v>
      </c>
      <c r="G14" s="2" t="s">
        <v>23</v>
      </c>
      <c r="H14" s="2" t="s">
        <v>17</v>
      </c>
      <c r="I14" s="2" t="n">
        <v>24</v>
      </c>
      <c r="J14" s="2" t="n">
        <v>240</v>
      </c>
      <c r="K14" s="2" t="n">
        <v>0</v>
      </c>
    </row>
    <row r="15" customFormat="false" ht="15" hidden="false" customHeight="false" outlineLevel="0" collapsed="false">
      <c r="A15" s="2" t="s">
        <v>55</v>
      </c>
      <c r="B15" s="3" t="n">
        <v>45708</v>
      </c>
      <c r="C15" s="2" t="s">
        <v>12</v>
      </c>
      <c r="D15" s="2" t="s">
        <v>51</v>
      </c>
      <c r="E15" s="2" t="s">
        <v>26</v>
      </c>
      <c r="F15" s="2" t="s">
        <v>56</v>
      </c>
      <c r="G15" s="2" t="s">
        <v>57</v>
      </c>
      <c r="H15" s="2" t="s">
        <v>24</v>
      </c>
      <c r="I15" s="2" t="n">
        <v>12</v>
      </c>
      <c r="J15" s="2" t="n">
        <v>2600</v>
      </c>
      <c r="K15" s="2" t="n">
        <v>0</v>
      </c>
    </row>
    <row r="16" customFormat="false" ht="15" hidden="false" customHeight="false" outlineLevel="0" collapsed="false">
      <c r="A16" s="2" t="s">
        <v>58</v>
      </c>
      <c r="B16" s="3" t="n">
        <v>45709</v>
      </c>
      <c r="C16" s="2" t="s">
        <v>19</v>
      </c>
      <c r="D16" s="2" t="s">
        <v>20</v>
      </c>
      <c r="E16" s="2" t="s">
        <v>14</v>
      </c>
      <c r="F16" s="2" t="s">
        <v>22</v>
      </c>
      <c r="G16" s="2" t="s">
        <v>23</v>
      </c>
      <c r="H16" s="2" t="s">
        <v>27</v>
      </c>
      <c r="I16" s="2" t="n">
        <v>8</v>
      </c>
      <c r="J16" s="2" t="n">
        <v>240</v>
      </c>
      <c r="K16" s="2" t="n">
        <v>0.05</v>
      </c>
    </row>
    <row r="17" customFormat="false" ht="15" hidden="false" customHeight="false" outlineLevel="0" collapsed="false">
      <c r="A17" s="2" t="s">
        <v>59</v>
      </c>
      <c r="B17" s="3" t="n">
        <v>45709</v>
      </c>
      <c r="C17" s="2" t="s">
        <v>12</v>
      </c>
      <c r="D17" s="2" t="s">
        <v>13</v>
      </c>
      <c r="E17" s="2" t="s">
        <v>34</v>
      </c>
      <c r="F17" s="2" t="s">
        <v>22</v>
      </c>
      <c r="G17" s="2" t="s">
        <v>23</v>
      </c>
      <c r="H17" s="2" t="s">
        <v>17</v>
      </c>
      <c r="I17" s="2" t="n">
        <v>15</v>
      </c>
      <c r="J17" s="2" t="n">
        <v>240</v>
      </c>
      <c r="K17" s="2" t="n">
        <v>0</v>
      </c>
    </row>
    <row r="18" customFormat="false" ht="15" hidden="false" customHeight="false" outlineLevel="0" collapsed="false">
      <c r="A18" s="2" t="s">
        <v>60</v>
      </c>
      <c r="B18" s="3" t="n">
        <v>45711</v>
      </c>
      <c r="C18" s="2" t="s">
        <v>61</v>
      </c>
      <c r="D18" s="2" t="s">
        <v>62</v>
      </c>
      <c r="E18" s="2" t="s">
        <v>29</v>
      </c>
      <c r="F18" s="2" t="s">
        <v>22</v>
      </c>
      <c r="G18" s="2" t="s">
        <v>47</v>
      </c>
      <c r="H18" s="2" t="s">
        <v>27</v>
      </c>
      <c r="I18" s="2" t="n">
        <v>22</v>
      </c>
      <c r="J18" s="2" t="n">
        <v>120</v>
      </c>
      <c r="K18" s="2" t="n">
        <v>0.05</v>
      </c>
    </row>
    <row r="19" customFormat="false" ht="15" hidden="false" customHeight="false" outlineLevel="0" collapsed="false">
      <c r="A19" s="2" t="s">
        <v>63</v>
      </c>
      <c r="B19" s="3" t="n">
        <v>45716</v>
      </c>
      <c r="C19" s="2" t="s">
        <v>61</v>
      </c>
      <c r="D19" s="2" t="s">
        <v>62</v>
      </c>
      <c r="E19" s="2" t="s">
        <v>53</v>
      </c>
      <c r="F19" s="2" t="s">
        <v>56</v>
      </c>
      <c r="G19" s="2" t="s">
        <v>57</v>
      </c>
      <c r="H19" s="2" t="s">
        <v>27</v>
      </c>
      <c r="I19" s="2" t="n">
        <v>23</v>
      </c>
      <c r="J19" s="2" t="n">
        <v>2600</v>
      </c>
      <c r="K19" s="2" t="n">
        <v>0.05</v>
      </c>
    </row>
    <row r="20" customFormat="false" ht="15" hidden="false" customHeight="false" outlineLevel="0" collapsed="false">
      <c r="A20" s="2" t="s">
        <v>64</v>
      </c>
      <c r="B20" s="3" t="n">
        <v>45717</v>
      </c>
      <c r="C20" s="2" t="s">
        <v>19</v>
      </c>
      <c r="D20" s="2" t="s">
        <v>33</v>
      </c>
      <c r="E20" s="2" t="s">
        <v>65</v>
      </c>
      <c r="F20" s="2" t="s">
        <v>30</v>
      </c>
      <c r="G20" s="2" t="s">
        <v>66</v>
      </c>
      <c r="H20" s="2" t="s">
        <v>24</v>
      </c>
      <c r="I20" s="2" t="n">
        <v>9</v>
      </c>
      <c r="J20" s="2" t="n">
        <v>1800</v>
      </c>
      <c r="K20" s="2" t="n">
        <v>0.1</v>
      </c>
    </row>
    <row r="21" customFormat="false" ht="15" hidden="false" customHeight="false" outlineLevel="0" collapsed="false">
      <c r="A21" s="2" t="s">
        <v>67</v>
      </c>
      <c r="B21" s="3" t="n">
        <v>45721</v>
      </c>
      <c r="C21" s="2" t="s">
        <v>19</v>
      </c>
      <c r="D21" s="2" t="s">
        <v>68</v>
      </c>
      <c r="E21" s="2" t="s">
        <v>34</v>
      </c>
      <c r="F21" s="2" t="s">
        <v>30</v>
      </c>
      <c r="G21" s="2" t="s">
        <v>31</v>
      </c>
      <c r="H21" s="2" t="s">
        <v>27</v>
      </c>
      <c r="I21" s="2" t="n">
        <v>18</v>
      </c>
      <c r="J21" s="2" t="n">
        <v>11999</v>
      </c>
      <c r="K21" s="2" t="n">
        <v>0</v>
      </c>
    </row>
    <row r="22" customFormat="false" ht="15" hidden="false" customHeight="false" outlineLevel="0" collapsed="false">
      <c r="A22" s="2" t="s">
        <v>69</v>
      </c>
      <c r="B22" s="3" t="n">
        <v>45725</v>
      </c>
      <c r="C22" s="2" t="s">
        <v>19</v>
      </c>
      <c r="D22" s="2" t="s">
        <v>70</v>
      </c>
      <c r="E22" s="2" t="s">
        <v>26</v>
      </c>
      <c r="F22" s="2" t="s">
        <v>15</v>
      </c>
      <c r="G22" s="2" t="s">
        <v>42</v>
      </c>
      <c r="H22" s="2" t="s">
        <v>17</v>
      </c>
      <c r="I22" s="2" t="n">
        <v>9</v>
      </c>
      <c r="J22" s="2" t="n">
        <v>3800</v>
      </c>
      <c r="K22" s="2" t="n">
        <v>0</v>
      </c>
    </row>
    <row r="23" customFormat="false" ht="15" hidden="false" customHeight="false" outlineLevel="0" collapsed="false">
      <c r="A23" s="2" t="s">
        <v>71</v>
      </c>
      <c r="B23" s="3" t="n">
        <v>45728</v>
      </c>
      <c r="C23" s="2" t="s">
        <v>40</v>
      </c>
      <c r="D23" s="2" t="s">
        <v>41</v>
      </c>
      <c r="E23" s="2" t="s">
        <v>34</v>
      </c>
      <c r="F23" s="2" t="s">
        <v>56</v>
      </c>
      <c r="G23" s="2" t="s">
        <v>72</v>
      </c>
      <c r="H23" s="2" t="s">
        <v>17</v>
      </c>
      <c r="I23" s="2" t="n">
        <v>8</v>
      </c>
      <c r="J23" s="2" t="n">
        <v>1750</v>
      </c>
      <c r="K23" s="2" t="n">
        <v>0</v>
      </c>
    </row>
    <row r="24" customFormat="false" ht="15" hidden="false" customHeight="false" outlineLevel="0" collapsed="false">
      <c r="A24" s="2" t="s">
        <v>73</v>
      </c>
      <c r="B24" s="3" t="n">
        <v>45729</v>
      </c>
      <c r="C24" s="2" t="s">
        <v>19</v>
      </c>
      <c r="D24" s="2" t="s">
        <v>70</v>
      </c>
      <c r="E24" s="2" t="s">
        <v>65</v>
      </c>
      <c r="F24" s="2" t="s">
        <v>22</v>
      </c>
      <c r="G24" s="2" t="s">
        <v>23</v>
      </c>
      <c r="H24" s="2" t="s">
        <v>24</v>
      </c>
      <c r="I24" s="2" t="n">
        <v>8</v>
      </c>
      <c r="J24" s="2" t="n">
        <v>240</v>
      </c>
      <c r="K24" s="2" t="n">
        <v>0.1</v>
      </c>
    </row>
    <row r="25" customFormat="false" ht="15" hidden="false" customHeight="false" outlineLevel="0" collapsed="false">
      <c r="A25" s="2" t="s">
        <v>74</v>
      </c>
      <c r="B25" s="3" t="n">
        <v>45731</v>
      </c>
      <c r="C25" s="2" t="s">
        <v>19</v>
      </c>
      <c r="D25" s="2" t="s">
        <v>68</v>
      </c>
      <c r="E25" s="2" t="s">
        <v>53</v>
      </c>
      <c r="F25" s="2" t="s">
        <v>15</v>
      </c>
      <c r="G25" s="2" t="s">
        <v>16</v>
      </c>
      <c r="H25" s="2" t="s">
        <v>27</v>
      </c>
      <c r="I25" s="2" t="n">
        <v>19</v>
      </c>
      <c r="J25" s="2" t="n">
        <v>6500</v>
      </c>
      <c r="K25" s="2" t="n">
        <v>0</v>
      </c>
    </row>
    <row r="26" customFormat="false" ht="15" hidden="false" customHeight="false" outlineLevel="0" collapsed="false">
      <c r="A26" s="2" t="s">
        <v>75</v>
      </c>
      <c r="B26" s="3" t="n">
        <v>45733</v>
      </c>
      <c r="C26" s="2" t="s">
        <v>12</v>
      </c>
      <c r="D26" s="2" t="s">
        <v>13</v>
      </c>
      <c r="E26" s="2" t="s">
        <v>44</v>
      </c>
      <c r="F26" s="2" t="s">
        <v>15</v>
      </c>
      <c r="G26" s="2" t="s">
        <v>49</v>
      </c>
      <c r="H26" s="2" t="s">
        <v>27</v>
      </c>
      <c r="I26" s="2" t="n">
        <v>11</v>
      </c>
      <c r="J26" s="2" t="n">
        <v>4200</v>
      </c>
      <c r="K26" s="2" t="n">
        <v>0</v>
      </c>
    </row>
    <row r="27" customFormat="false" ht="15" hidden="false" customHeight="false" outlineLevel="0" collapsed="false">
      <c r="A27" s="2" t="s">
        <v>76</v>
      </c>
      <c r="B27" s="3" t="n">
        <v>45736</v>
      </c>
      <c r="C27" s="2" t="s">
        <v>19</v>
      </c>
      <c r="D27" s="2" t="s">
        <v>20</v>
      </c>
      <c r="E27" s="2" t="s">
        <v>53</v>
      </c>
      <c r="F27" s="2" t="s">
        <v>15</v>
      </c>
      <c r="G27" s="2" t="s">
        <v>49</v>
      </c>
      <c r="H27" s="2" t="s">
        <v>17</v>
      </c>
      <c r="I27" s="2" t="n">
        <v>20</v>
      </c>
      <c r="J27" s="2" t="n">
        <v>4200</v>
      </c>
      <c r="K27" s="2" t="n">
        <v>0.05</v>
      </c>
    </row>
    <row r="28" customFormat="false" ht="15" hidden="false" customHeight="false" outlineLevel="0" collapsed="false">
      <c r="A28" s="2" t="s">
        <v>77</v>
      </c>
      <c r="B28" s="3" t="n">
        <v>45737</v>
      </c>
      <c r="C28" s="2" t="s">
        <v>61</v>
      </c>
      <c r="D28" s="2" t="s">
        <v>78</v>
      </c>
      <c r="E28" s="2" t="s">
        <v>53</v>
      </c>
      <c r="F28" s="2" t="s">
        <v>56</v>
      </c>
      <c r="G28" s="2" t="s">
        <v>79</v>
      </c>
      <c r="H28" s="2" t="s">
        <v>17</v>
      </c>
      <c r="I28" s="2" t="n">
        <v>24</v>
      </c>
      <c r="J28" s="2" t="n">
        <v>8900</v>
      </c>
      <c r="K28" s="2" t="n">
        <v>0</v>
      </c>
    </row>
    <row r="29" customFormat="false" ht="15" hidden="false" customHeight="false" outlineLevel="0" collapsed="false">
      <c r="A29" s="2" t="s">
        <v>80</v>
      </c>
      <c r="B29" s="3" t="n">
        <v>45738</v>
      </c>
      <c r="C29" s="2" t="s">
        <v>12</v>
      </c>
      <c r="D29" s="2" t="s">
        <v>81</v>
      </c>
      <c r="E29" s="2" t="s">
        <v>44</v>
      </c>
      <c r="F29" s="2" t="s">
        <v>15</v>
      </c>
      <c r="G29" s="2" t="s">
        <v>42</v>
      </c>
      <c r="H29" s="2" t="s">
        <v>27</v>
      </c>
      <c r="I29" s="2" t="n">
        <v>3</v>
      </c>
      <c r="J29" s="2" t="n">
        <v>3800</v>
      </c>
      <c r="K29" s="2" t="n">
        <v>0.05</v>
      </c>
    </row>
    <row r="30" customFormat="false" ht="15" hidden="false" customHeight="false" outlineLevel="0" collapsed="false">
      <c r="A30" s="2" t="s">
        <v>82</v>
      </c>
      <c r="B30" s="3" t="n">
        <v>45747</v>
      </c>
      <c r="C30" s="2" t="s">
        <v>19</v>
      </c>
      <c r="D30" s="2" t="s">
        <v>33</v>
      </c>
      <c r="E30" s="2" t="s">
        <v>53</v>
      </c>
      <c r="F30" s="2" t="s">
        <v>22</v>
      </c>
      <c r="G30" s="2" t="s">
        <v>35</v>
      </c>
      <c r="H30" s="2" t="s">
        <v>17</v>
      </c>
      <c r="I30" s="2" t="n">
        <v>14</v>
      </c>
      <c r="J30" s="2" t="n">
        <v>320</v>
      </c>
      <c r="K30" s="2" t="n">
        <v>0.1</v>
      </c>
    </row>
    <row r="31" customFormat="false" ht="15" hidden="false" customHeight="false" outlineLevel="0" collapsed="false">
      <c r="A31" s="2" t="s">
        <v>83</v>
      </c>
      <c r="B31" s="3" t="n">
        <v>45751</v>
      </c>
      <c r="C31" s="2" t="s">
        <v>12</v>
      </c>
      <c r="D31" s="2" t="s">
        <v>81</v>
      </c>
      <c r="E31" s="2" t="s">
        <v>21</v>
      </c>
      <c r="F31" s="2" t="s">
        <v>56</v>
      </c>
      <c r="G31" s="2" t="s">
        <v>57</v>
      </c>
      <c r="H31" s="2" t="s">
        <v>27</v>
      </c>
      <c r="I31" s="2" t="n">
        <v>14</v>
      </c>
      <c r="J31" s="2" t="n">
        <v>2600</v>
      </c>
      <c r="K31" s="2" t="n">
        <v>0</v>
      </c>
    </row>
    <row r="32" customFormat="false" ht="15" hidden="false" customHeight="false" outlineLevel="0" collapsed="false">
      <c r="A32" s="2" t="s">
        <v>84</v>
      </c>
      <c r="B32" s="3" t="n">
        <v>45751</v>
      </c>
      <c r="C32" s="2" t="s">
        <v>19</v>
      </c>
      <c r="D32" s="2" t="s">
        <v>70</v>
      </c>
      <c r="E32" s="2" t="s">
        <v>44</v>
      </c>
      <c r="F32" s="2" t="s">
        <v>56</v>
      </c>
      <c r="G32" s="2" t="s">
        <v>57</v>
      </c>
      <c r="H32" s="2" t="s">
        <v>27</v>
      </c>
      <c r="I32" s="2" t="n">
        <v>15</v>
      </c>
      <c r="J32" s="2" t="n">
        <v>2600</v>
      </c>
      <c r="K32" s="2" t="n">
        <v>0.05</v>
      </c>
    </row>
    <row r="33" customFormat="false" ht="15" hidden="false" customHeight="false" outlineLevel="0" collapsed="false">
      <c r="A33" s="2" t="s">
        <v>85</v>
      </c>
      <c r="B33" s="3" t="n">
        <v>45755</v>
      </c>
      <c r="C33" s="2" t="s">
        <v>40</v>
      </c>
      <c r="D33" s="2" t="s">
        <v>41</v>
      </c>
      <c r="E33" s="2" t="s">
        <v>21</v>
      </c>
      <c r="F33" s="2" t="s">
        <v>30</v>
      </c>
      <c r="G33" s="2" t="s">
        <v>86</v>
      </c>
      <c r="H33" s="2" t="s">
        <v>17</v>
      </c>
      <c r="I33" s="2" t="n">
        <v>19</v>
      </c>
      <c r="J33" s="2" t="n">
        <v>42500</v>
      </c>
      <c r="K33" s="2" t="n">
        <v>0.05</v>
      </c>
    </row>
    <row r="34" customFormat="false" ht="15" hidden="false" customHeight="false" outlineLevel="0" collapsed="false">
      <c r="A34" s="2" t="s">
        <v>87</v>
      </c>
      <c r="B34" s="3" t="n">
        <v>45755</v>
      </c>
      <c r="C34" s="2" t="s">
        <v>61</v>
      </c>
      <c r="D34" s="2" t="s">
        <v>38</v>
      </c>
      <c r="E34" s="2" t="s">
        <v>21</v>
      </c>
      <c r="F34" s="2" t="s">
        <v>22</v>
      </c>
      <c r="G34" s="2" t="s">
        <v>23</v>
      </c>
      <c r="H34" s="2" t="s">
        <v>24</v>
      </c>
      <c r="I34" s="2" t="n">
        <v>21</v>
      </c>
      <c r="J34" s="2" t="n">
        <v>240</v>
      </c>
      <c r="K34" s="2" t="n">
        <v>0</v>
      </c>
    </row>
    <row r="35" customFormat="false" ht="15" hidden="false" customHeight="false" outlineLevel="0" collapsed="false">
      <c r="A35" s="2" t="s">
        <v>88</v>
      </c>
      <c r="B35" s="3" t="n">
        <v>45760</v>
      </c>
      <c r="C35" s="2" t="s">
        <v>19</v>
      </c>
      <c r="D35" s="2" t="s">
        <v>68</v>
      </c>
      <c r="E35" s="2" t="s">
        <v>34</v>
      </c>
      <c r="F35" s="2" t="s">
        <v>30</v>
      </c>
      <c r="G35" s="2" t="s">
        <v>86</v>
      </c>
      <c r="H35" s="2" t="s">
        <v>27</v>
      </c>
      <c r="I35" s="2" t="n">
        <v>8</v>
      </c>
      <c r="J35" s="2" t="n">
        <v>42500</v>
      </c>
      <c r="K35" s="2" t="n">
        <v>0</v>
      </c>
    </row>
    <row r="36" customFormat="false" ht="15" hidden="false" customHeight="false" outlineLevel="0" collapsed="false">
      <c r="A36" s="2" t="s">
        <v>89</v>
      </c>
      <c r="B36" s="3" t="n">
        <v>45764</v>
      </c>
      <c r="C36" s="2" t="s">
        <v>40</v>
      </c>
      <c r="D36" s="2" t="s">
        <v>90</v>
      </c>
      <c r="E36" s="2" t="s">
        <v>53</v>
      </c>
      <c r="F36" s="2" t="s">
        <v>30</v>
      </c>
      <c r="G36" s="2" t="s">
        <v>91</v>
      </c>
      <c r="H36" s="2" t="s">
        <v>27</v>
      </c>
      <c r="I36" s="2" t="n">
        <v>25</v>
      </c>
      <c r="J36" s="2" t="n">
        <v>14500</v>
      </c>
      <c r="K36" s="2" t="n">
        <v>0</v>
      </c>
    </row>
    <row r="37" customFormat="false" ht="15" hidden="false" customHeight="false" outlineLevel="0" collapsed="false">
      <c r="A37" s="2" t="s">
        <v>92</v>
      </c>
      <c r="B37" s="3" t="n">
        <v>45765</v>
      </c>
      <c r="C37" s="2" t="s">
        <v>19</v>
      </c>
      <c r="D37" s="2" t="s">
        <v>33</v>
      </c>
      <c r="E37" s="2" t="s">
        <v>53</v>
      </c>
      <c r="F37" s="2" t="s">
        <v>22</v>
      </c>
      <c r="G37" s="2" t="s">
        <v>23</v>
      </c>
      <c r="H37" s="2" t="s">
        <v>24</v>
      </c>
      <c r="I37" s="2" t="n">
        <v>12</v>
      </c>
      <c r="J37" s="2" t="n">
        <v>240</v>
      </c>
      <c r="K37" s="2" t="n">
        <v>0</v>
      </c>
    </row>
    <row r="38" customFormat="false" ht="15" hidden="false" customHeight="false" outlineLevel="0" collapsed="false">
      <c r="A38" s="2" t="s">
        <v>93</v>
      </c>
      <c r="B38" s="3" t="n">
        <v>45765</v>
      </c>
      <c r="C38" s="2" t="s">
        <v>61</v>
      </c>
      <c r="D38" s="2" t="s">
        <v>62</v>
      </c>
      <c r="E38" s="2" t="s">
        <v>14</v>
      </c>
      <c r="F38" s="2" t="s">
        <v>30</v>
      </c>
      <c r="G38" s="2" t="s">
        <v>31</v>
      </c>
      <c r="H38" s="2" t="s">
        <v>24</v>
      </c>
      <c r="I38" s="2" t="n">
        <v>10</v>
      </c>
      <c r="J38" s="2" t="n">
        <v>11999</v>
      </c>
      <c r="K38" s="2" t="n">
        <v>0.1</v>
      </c>
    </row>
    <row r="39" customFormat="false" ht="15" hidden="false" customHeight="false" outlineLevel="0" collapsed="false">
      <c r="A39" s="2" t="s">
        <v>94</v>
      </c>
      <c r="B39" s="3" t="n">
        <v>45767</v>
      </c>
      <c r="C39" s="2" t="s">
        <v>61</v>
      </c>
      <c r="D39" s="2" t="s">
        <v>62</v>
      </c>
      <c r="E39" s="2" t="s">
        <v>34</v>
      </c>
      <c r="F39" s="2" t="s">
        <v>56</v>
      </c>
      <c r="G39" s="2" t="s">
        <v>72</v>
      </c>
      <c r="H39" s="2" t="s">
        <v>24</v>
      </c>
      <c r="I39" s="2" t="n">
        <v>22</v>
      </c>
      <c r="J39" s="2" t="n">
        <v>1750</v>
      </c>
      <c r="K39" s="2" t="n">
        <v>0</v>
      </c>
    </row>
    <row r="40" customFormat="false" ht="15" hidden="false" customHeight="false" outlineLevel="0" collapsed="false">
      <c r="A40" s="2" t="s">
        <v>95</v>
      </c>
      <c r="B40" s="3" t="n">
        <v>45769</v>
      </c>
      <c r="C40" s="2" t="s">
        <v>19</v>
      </c>
      <c r="D40" s="2" t="s">
        <v>68</v>
      </c>
      <c r="E40" s="2" t="s">
        <v>53</v>
      </c>
      <c r="F40" s="2" t="s">
        <v>30</v>
      </c>
      <c r="G40" s="2" t="s">
        <v>91</v>
      </c>
      <c r="H40" s="2" t="s">
        <v>24</v>
      </c>
      <c r="I40" s="2" t="n">
        <v>3</v>
      </c>
      <c r="J40" s="2" t="n">
        <v>14500</v>
      </c>
      <c r="K40" s="2" t="n">
        <v>0.1</v>
      </c>
    </row>
    <row r="41" customFormat="false" ht="15" hidden="false" customHeight="false" outlineLevel="0" collapsed="false">
      <c r="A41" s="2" t="s">
        <v>96</v>
      </c>
      <c r="B41" s="3" t="n">
        <v>45770</v>
      </c>
      <c r="C41" s="2" t="s">
        <v>19</v>
      </c>
      <c r="D41" s="2" t="s">
        <v>33</v>
      </c>
      <c r="E41" s="2" t="s">
        <v>44</v>
      </c>
      <c r="F41" s="2" t="s">
        <v>30</v>
      </c>
      <c r="G41" s="2" t="s">
        <v>66</v>
      </c>
      <c r="H41" s="2" t="s">
        <v>17</v>
      </c>
      <c r="I41" s="2" t="n">
        <v>19</v>
      </c>
      <c r="J41" s="2" t="n">
        <v>1800</v>
      </c>
      <c r="K41" s="2" t="n">
        <v>0</v>
      </c>
    </row>
    <row r="42" customFormat="false" ht="15" hidden="false" customHeight="false" outlineLevel="0" collapsed="false">
      <c r="A42" s="2" t="s">
        <v>97</v>
      </c>
      <c r="B42" s="3" t="n">
        <v>45772</v>
      </c>
      <c r="C42" s="2" t="s">
        <v>19</v>
      </c>
      <c r="D42" s="2" t="s">
        <v>68</v>
      </c>
      <c r="E42" s="2" t="s">
        <v>65</v>
      </c>
      <c r="F42" s="2" t="s">
        <v>30</v>
      </c>
      <c r="G42" s="2" t="s">
        <v>91</v>
      </c>
      <c r="H42" s="2" t="s">
        <v>24</v>
      </c>
      <c r="I42" s="2" t="n">
        <v>12</v>
      </c>
      <c r="J42" s="2" t="n">
        <v>14500</v>
      </c>
      <c r="K42" s="2" t="n">
        <v>0</v>
      </c>
    </row>
    <row r="43" customFormat="false" ht="15" hidden="false" customHeight="false" outlineLevel="0" collapsed="false">
      <c r="A43" s="2" t="s">
        <v>98</v>
      </c>
      <c r="B43" s="3" t="n">
        <v>45773</v>
      </c>
      <c r="C43" s="2" t="s">
        <v>19</v>
      </c>
      <c r="D43" s="2" t="s">
        <v>68</v>
      </c>
      <c r="E43" s="2" t="s">
        <v>14</v>
      </c>
      <c r="F43" s="2" t="s">
        <v>30</v>
      </c>
      <c r="G43" s="2" t="s">
        <v>66</v>
      </c>
      <c r="H43" s="2" t="s">
        <v>24</v>
      </c>
      <c r="I43" s="2" t="n">
        <v>25</v>
      </c>
      <c r="J43" s="2" t="n">
        <v>1800</v>
      </c>
      <c r="K43" s="2" t="n">
        <v>0</v>
      </c>
    </row>
    <row r="44" customFormat="false" ht="15" hidden="false" customHeight="false" outlineLevel="0" collapsed="false">
      <c r="A44" s="2" t="s">
        <v>99</v>
      </c>
      <c r="B44" s="3" t="n">
        <v>45777</v>
      </c>
      <c r="C44" s="2" t="s">
        <v>40</v>
      </c>
      <c r="D44" s="2" t="s">
        <v>41</v>
      </c>
      <c r="E44" s="2" t="s">
        <v>34</v>
      </c>
      <c r="F44" s="2" t="s">
        <v>22</v>
      </c>
      <c r="G44" s="2" t="s">
        <v>23</v>
      </c>
      <c r="H44" s="2" t="s">
        <v>17</v>
      </c>
      <c r="I44" s="2" t="n">
        <v>22</v>
      </c>
      <c r="J44" s="2" t="n">
        <v>240</v>
      </c>
      <c r="K44" s="2" t="n">
        <v>0.1</v>
      </c>
    </row>
    <row r="45" customFormat="false" ht="15" hidden="false" customHeight="false" outlineLevel="0" collapsed="false">
      <c r="A45" s="2" t="s">
        <v>100</v>
      </c>
      <c r="B45" s="3" t="n">
        <v>45778</v>
      </c>
      <c r="C45" s="2" t="s">
        <v>19</v>
      </c>
      <c r="D45" s="2" t="s">
        <v>33</v>
      </c>
      <c r="E45" s="2" t="s">
        <v>21</v>
      </c>
      <c r="F45" s="2" t="s">
        <v>22</v>
      </c>
      <c r="G45" s="2" t="s">
        <v>23</v>
      </c>
      <c r="H45" s="2" t="s">
        <v>17</v>
      </c>
      <c r="I45" s="2" t="n">
        <v>25</v>
      </c>
      <c r="J45" s="2" t="n">
        <v>240</v>
      </c>
      <c r="K45" s="2" t="n">
        <v>0</v>
      </c>
    </row>
    <row r="46" customFormat="false" ht="15" hidden="false" customHeight="false" outlineLevel="0" collapsed="false">
      <c r="A46" s="2" t="s">
        <v>101</v>
      </c>
      <c r="B46" s="3" t="n">
        <v>45780</v>
      </c>
      <c r="C46" s="2" t="s">
        <v>40</v>
      </c>
      <c r="D46" s="2" t="s">
        <v>46</v>
      </c>
      <c r="E46" s="2" t="s">
        <v>44</v>
      </c>
      <c r="F46" s="2" t="s">
        <v>30</v>
      </c>
      <c r="G46" s="2" t="s">
        <v>31</v>
      </c>
      <c r="H46" s="2" t="s">
        <v>17</v>
      </c>
      <c r="I46" s="2" t="n">
        <v>10</v>
      </c>
      <c r="J46" s="2" t="n">
        <v>11999</v>
      </c>
      <c r="K46" s="2" t="n">
        <v>0.1</v>
      </c>
    </row>
    <row r="47" customFormat="false" ht="15" hidden="false" customHeight="false" outlineLevel="0" collapsed="false">
      <c r="A47" s="2" t="s">
        <v>102</v>
      </c>
      <c r="B47" s="3" t="n">
        <v>45780</v>
      </c>
      <c r="C47" s="2" t="s">
        <v>103</v>
      </c>
      <c r="D47" s="2" t="s">
        <v>90</v>
      </c>
      <c r="E47" s="2" t="s">
        <v>14</v>
      </c>
      <c r="F47" s="2" t="s">
        <v>22</v>
      </c>
      <c r="G47" s="2" t="s">
        <v>23</v>
      </c>
      <c r="H47" s="2" t="s">
        <v>17</v>
      </c>
      <c r="I47" s="2" t="n">
        <v>23</v>
      </c>
      <c r="J47" s="2" t="n">
        <v>240</v>
      </c>
      <c r="K47" s="2" t="n">
        <v>0.05</v>
      </c>
    </row>
    <row r="48" customFormat="false" ht="15" hidden="false" customHeight="false" outlineLevel="0" collapsed="false">
      <c r="A48" s="2" t="s">
        <v>104</v>
      </c>
      <c r="B48" s="3" t="n">
        <v>45781</v>
      </c>
      <c r="C48" s="2" t="s">
        <v>61</v>
      </c>
      <c r="D48" s="2" t="s">
        <v>78</v>
      </c>
      <c r="E48" s="2" t="s">
        <v>14</v>
      </c>
      <c r="F48" s="2" t="s">
        <v>30</v>
      </c>
      <c r="G48" s="2" t="s">
        <v>66</v>
      </c>
      <c r="H48" s="2" t="s">
        <v>27</v>
      </c>
      <c r="I48" s="2" t="n">
        <v>3</v>
      </c>
      <c r="J48" s="2" t="n">
        <v>1800</v>
      </c>
      <c r="K48" s="2" t="n">
        <v>0.1</v>
      </c>
    </row>
    <row r="49" customFormat="false" ht="15" hidden="false" customHeight="false" outlineLevel="0" collapsed="false">
      <c r="A49" s="2" t="s">
        <v>105</v>
      </c>
      <c r="B49" s="3" t="n">
        <v>45782</v>
      </c>
      <c r="C49" s="2" t="s">
        <v>12</v>
      </c>
      <c r="D49" s="2" t="s">
        <v>13</v>
      </c>
      <c r="E49" s="2" t="s">
        <v>29</v>
      </c>
      <c r="F49" s="2" t="s">
        <v>56</v>
      </c>
      <c r="G49" s="2" t="s">
        <v>72</v>
      </c>
      <c r="H49" s="2" t="s">
        <v>24</v>
      </c>
      <c r="I49" s="2" t="n">
        <v>13</v>
      </c>
      <c r="J49" s="2" t="n">
        <v>1750</v>
      </c>
      <c r="K49" s="2" t="n">
        <v>0</v>
      </c>
    </row>
    <row r="50" customFormat="false" ht="15" hidden="false" customHeight="false" outlineLevel="0" collapsed="false">
      <c r="A50" s="2" t="s">
        <v>106</v>
      </c>
      <c r="B50" s="3" t="n">
        <v>45784</v>
      </c>
      <c r="C50" s="2" t="s">
        <v>19</v>
      </c>
      <c r="D50" s="2" t="s">
        <v>20</v>
      </c>
      <c r="E50" s="2" t="s">
        <v>44</v>
      </c>
      <c r="F50" s="2" t="s">
        <v>56</v>
      </c>
      <c r="G50" s="2" t="s">
        <v>57</v>
      </c>
      <c r="H50" s="2" t="s">
        <v>24</v>
      </c>
      <c r="I50" s="2" t="n">
        <v>19</v>
      </c>
      <c r="J50" s="2" t="n">
        <v>2600</v>
      </c>
      <c r="K50" s="2" t="n">
        <v>0</v>
      </c>
    </row>
    <row r="51" customFormat="false" ht="15" hidden="false" customHeight="false" outlineLevel="0" collapsed="false">
      <c r="A51" s="2" t="s">
        <v>107</v>
      </c>
      <c r="B51" s="3" t="n">
        <v>45793</v>
      </c>
      <c r="C51" s="2" t="s">
        <v>40</v>
      </c>
      <c r="D51" s="2" t="s">
        <v>41</v>
      </c>
      <c r="E51" s="2" t="s">
        <v>26</v>
      </c>
      <c r="F51" s="2" t="s">
        <v>15</v>
      </c>
      <c r="G51" s="2" t="s">
        <v>49</v>
      </c>
      <c r="H51" s="2" t="s">
        <v>24</v>
      </c>
      <c r="I51" s="2" t="n">
        <v>16</v>
      </c>
      <c r="J51" s="2" t="n">
        <v>4200</v>
      </c>
      <c r="K51" s="2" t="n">
        <v>0.05</v>
      </c>
    </row>
    <row r="52" customFormat="false" ht="15" hidden="false" customHeight="false" outlineLevel="0" collapsed="false">
      <c r="A52" s="2" t="s">
        <v>108</v>
      </c>
      <c r="B52" s="3" t="n">
        <v>45793</v>
      </c>
      <c r="C52" s="2" t="s">
        <v>61</v>
      </c>
      <c r="D52" s="2" t="s">
        <v>38</v>
      </c>
      <c r="E52" s="2" t="s">
        <v>44</v>
      </c>
      <c r="F52" s="2" t="s">
        <v>22</v>
      </c>
      <c r="G52" s="2" t="s">
        <v>23</v>
      </c>
      <c r="H52" s="2" t="s">
        <v>17</v>
      </c>
      <c r="I52" s="2" t="n">
        <v>6</v>
      </c>
      <c r="J52" s="2" t="n">
        <v>240</v>
      </c>
      <c r="K52" s="2" t="n">
        <v>0.05</v>
      </c>
    </row>
    <row r="53" customFormat="false" ht="15" hidden="false" customHeight="false" outlineLevel="0" collapsed="false">
      <c r="A53" s="2" t="s">
        <v>109</v>
      </c>
      <c r="B53" s="3" t="n">
        <v>45795</v>
      </c>
      <c r="C53" s="2" t="s">
        <v>40</v>
      </c>
      <c r="D53" s="2" t="s">
        <v>90</v>
      </c>
      <c r="E53" s="2" t="s">
        <v>26</v>
      </c>
      <c r="F53" s="2" t="s">
        <v>56</v>
      </c>
      <c r="G53" s="2" t="s">
        <v>79</v>
      </c>
      <c r="H53" s="2" t="s">
        <v>17</v>
      </c>
      <c r="I53" s="2" t="n">
        <v>19</v>
      </c>
      <c r="J53" s="2" t="n">
        <v>8900</v>
      </c>
      <c r="K53" s="2" t="n">
        <v>0</v>
      </c>
    </row>
    <row r="54" customFormat="false" ht="15" hidden="false" customHeight="false" outlineLevel="0" collapsed="false">
      <c r="A54" s="2" t="s">
        <v>110</v>
      </c>
      <c r="B54" s="3" t="n">
        <v>45798</v>
      </c>
      <c r="C54" s="2" t="s">
        <v>61</v>
      </c>
      <c r="D54" s="2" t="s">
        <v>78</v>
      </c>
      <c r="E54" s="2" t="s">
        <v>34</v>
      </c>
      <c r="F54" s="2" t="s">
        <v>56</v>
      </c>
      <c r="G54" s="2" t="s">
        <v>79</v>
      </c>
      <c r="H54" s="2" t="s">
        <v>17</v>
      </c>
      <c r="I54" s="2" t="n">
        <v>8</v>
      </c>
      <c r="J54" s="2" t="n">
        <v>8900</v>
      </c>
      <c r="K54" s="2" t="n">
        <v>0</v>
      </c>
    </row>
    <row r="55" customFormat="false" ht="15" hidden="false" customHeight="false" outlineLevel="0" collapsed="false">
      <c r="A55" s="2" t="s">
        <v>111</v>
      </c>
      <c r="B55" s="3" t="n">
        <v>45807</v>
      </c>
      <c r="C55" s="2" t="s">
        <v>19</v>
      </c>
      <c r="D55" s="2" t="s">
        <v>68</v>
      </c>
      <c r="E55" s="2" t="s">
        <v>21</v>
      </c>
      <c r="F55" s="2" t="s">
        <v>30</v>
      </c>
      <c r="G55" s="2" t="s">
        <v>66</v>
      </c>
      <c r="H55" s="2" t="s">
        <v>27</v>
      </c>
      <c r="I55" s="2" t="n">
        <v>16</v>
      </c>
      <c r="J55" s="2" t="n">
        <v>1800</v>
      </c>
      <c r="K55" s="2" t="n">
        <v>0.05</v>
      </c>
    </row>
    <row r="56" customFormat="false" ht="15" hidden="false" customHeight="false" outlineLevel="0" collapsed="false">
      <c r="A56" s="2" t="s">
        <v>112</v>
      </c>
      <c r="B56" s="3" t="n">
        <v>45809</v>
      </c>
      <c r="C56" s="2" t="s">
        <v>40</v>
      </c>
      <c r="D56" s="2" t="s">
        <v>90</v>
      </c>
      <c r="E56" s="2" t="s">
        <v>53</v>
      </c>
      <c r="F56" s="2" t="s">
        <v>22</v>
      </c>
      <c r="G56" s="2" t="s">
        <v>23</v>
      </c>
      <c r="H56" s="2" t="s">
        <v>27</v>
      </c>
      <c r="I56" s="2" t="n">
        <v>7</v>
      </c>
      <c r="J56" s="2" t="n">
        <v>240</v>
      </c>
      <c r="K56" s="2" t="n">
        <v>0</v>
      </c>
    </row>
    <row r="57" customFormat="false" ht="15" hidden="false" customHeight="false" outlineLevel="0" collapsed="false">
      <c r="A57" s="2" t="s">
        <v>113</v>
      </c>
      <c r="B57" s="3" t="n">
        <v>45813</v>
      </c>
      <c r="C57" s="2" t="s">
        <v>61</v>
      </c>
      <c r="D57" s="2" t="s">
        <v>62</v>
      </c>
      <c r="E57" s="2" t="s">
        <v>14</v>
      </c>
      <c r="F57" s="2" t="s">
        <v>30</v>
      </c>
      <c r="G57" s="2" t="s">
        <v>86</v>
      </c>
      <c r="H57" s="2" t="s">
        <v>27</v>
      </c>
      <c r="I57" s="2" t="n">
        <v>23</v>
      </c>
      <c r="J57" s="2" t="n">
        <v>42500</v>
      </c>
      <c r="K57" s="2" t="n">
        <v>0.1</v>
      </c>
    </row>
    <row r="58" customFormat="false" ht="15" hidden="false" customHeight="false" outlineLevel="0" collapsed="false">
      <c r="A58" s="2" t="s">
        <v>114</v>
      </c>
      <c r="B58" s="3" t="n">
        <v>45813</v>
      </c>
      <c r="C58" s="2" t="s">
        <v>40</v>
      </c>
      <c r="D58" s="2" t="s">
        <v>46</v>
      </c>
      <c r="E58" s="2" t="s">
        <v>34</v>
      </c>
      <c r="F58" s="2" t="s">
        <v>15</v>
      </c>
      <c r="G58" s="2" t="s">
        <v>49</v>
      </c>
      <c r="H58" s="2" t="s">
        <v>17</v>
      </c>
      <c r="I58" s="2" t="n">
        <v>2</v>
      </c>
      <c r="J58" s="2" t="n">
        <v>4200</v>
      </c>
      <c r="K58" s="2" t="n">
        <v>0</v>
      </c>
    </row>
    <row r="59" customFormat="false" ht="15" hidden="false" customHeight="false" outlineLevel="0" collapsed="false">
      <c r="A59" s="2" t="s">
        <v>115</v>
      </c>
      <c r="B59" s="3" t="n">
        <v>45814</v>
      </c>
      <c r="C59" s="2" t="s">
        <v>61</v>
      </c>
      <c r="D59" s="2" t="s">
        <v>38</v>
      </c>
      <c r="E59" s="2" t="s">
        <v>26</v>
      </c>
      <c r="F59" s="2" t="s">
        <v>56</v>
      </c>
      <c r="G59" s="2" t="s">
        <v>79</v>
      </c>
      <c r="H59" s="2" t="s">
        <v>27</v>
      </c>
      <c r="I59" s="2" t="n">
        <v>8</v>
      </c>
      <c r="J59" s="2" t="n">
        <v>8900</v>
      </c>
      <c r="K59" s="2" t="n">
        <v>0.1</v>
      </c>
    </row>
    <row r="60" customFormat="false" ht="15" hidden="false" customHeight="false" outlineLevel="0" collapsed="false">
      <c r="A60" s="2" t="s">
        <v>116</v>
      </c>
      <c r="B60" s="3" t="n">
        <v>45818</v>
      </c>
      <c r="C60" s="2" t="s">
        <v>61</v>
      </c>
      <c r="D60" s="2" t="s">
        <v>38</v>
      </c>
      <c r="E60" s="2" t="s">
        <v>44</v>
      </c>
      <c r="F60" s="2" t="s">
        <v>30</v>
      </c>
      <c r="G60" s="2" t="s">
        <v>91</v>
      </c>
      <c r="H60" s="2" t="s">
        <v>17</v>
      </c>
      <c r="I60" s="2" t="n">
        <v>24</v>
      </c>
      <c r="J60" s="2" t="n">
        <v>14500</v>
      </c>
      <c r="K60" s="2" t="n">
        <v>0.1</v>
      </c>
    </row>
    <row r="61" customFormat="false" ht="15" hidden="false" customHeight="false" outlineLevel="0" collapsed="false">
      <c r="A61" s="2" t="s">
        <v>117</v>
      </c>
      <c r="B61" s="3" t="n">
        <v>45823</v>
      </c>
      <c r="C61" s="2" t="s">
        <v>40</v>
      </c>
      <c r="D61" s="2" t="s">
        <v>90</v>
      </c>
      <c r="E61" s="2" t="s">
        <v>21</v>
      </c>
      <c r="F61" s="2" t="s">
        <v>30</v>
      </c>
      <c r="G61" s="2" t="s">
        <v>91</v>
      </c>
      <c r="H61" s="2" t="s">
        <v>17</v>
      </c>
      <c r="I61" s="2" t="n">
        <v>14</v>
      </c>
      <c r="J61" s="2" t="n">
        <v>14500</v>
      </c>
      <c r="K61" s="2" t="n">
        <v>0</v>
      </c>
    </row>
    <row r="62" customFormat="false" ht="15" hidden="false" customHeight="false" outlineLevel="0" collapsed="false">
      <c r="A62" s="2" t="s">
        <v>118</v>
      </c>
      <c r="B62" s="3" t="n">
        <v>45824</v>
      </c>
      <c r="C62" s="2" t="s">
        <v>40</v>
      </c>
      <c r="D62" s="2" t="s">
        <v>46</v>
      </c>
      <c r="E62" s="2" t="s">
        <v>44</v>
      </c>
      <c r="F62" s="2" t="s">
        <v>22</v>
      </c>
      <c r="G62" s="2" t="s">
        <v>23</v>
      </c>
      <c r="H62" s="2" t="s">
        <v>27</v>
      </c>
      <c r="I62" s="2" t="n">
        <v>2</v>
      </c>
      <c r="J62" s="2" t="n">
        <v>240</v>
      </c>
      <c r="K62" s="2" t="n">
        <v>0</v>
      </c>
    </row>
    <row r="63" customFormat="false" ht="15" hidden="false" customHeight="false" outlineLevel="0" collapsed="false">
      <c r="A63" s="2" t="s">
        <v>119</v>
      </c>
      <c r="B63" s="3" t="n">
        <v>45825</v>
      </c>
      <c r="C63" s="2" t="s">
        <v>19</v>
      </c>
      <c r="D63" s="2" t="s">
        <v>33</v>
      </c>
      <c r="E63" s="2" t="s">
        <v>14</v>
      </c>
      <c r="F63" s="2" t="s">
        <v>22</v>
      </c>
      <c r="G63" s="2" t="s">
        <v>35</v>
      </c>
      <c r="H63" s="2" t="s">
        <v>24</v>
      </c>
      <c r="I63" s="2" t="n">
        <v>14</v>
      </c>
      <c r="J63" s="2" t="n">
        <v>320</v>
      </c>
      <c r="K63" s="2" t="n">
        <v>0</v>
      </c>
    </row>
    <row r="64" customFormat="false" ht="15" hidden="false" customHeight="false" outlineLevel="0" collapsed="false">
      <c r="A64" s="2" t="s">
        <v>120</v>
      </c>
      <c r="B64" s="3" t="n">
        <v>45826</v>
      </c>
      <c r="C64" s="2" t="s">
        <v>12</v>
      </c>
      <c r="D64" s="2" t="s">
        <v>81</v>
      </c>
      <c r="E64" s="2" t="s">
        <v>21</v>
      </c>
      <c r="F64" s="2" t="s">
        <v>30</v>
      </c>
      <c r="G64" s="2" t="s">
        <v>66</v>
      </c>
      <c r="H64" s="2" t="s">
        <v>17</v>
      </c>
      <c r="I64" s="2" t="n">
        <v>13</v>
      </c>
      <c r="J64" s="2" t="n">
        <v>1800</v>
      </c>
      <c r="K64" s="2" t="n">
        <v>0</v>
      </c>
    </row>
    <row r="65" customFormat="false" ht="15" hidden="false" customHeight="false" outlineLevel="0" collapsed="false">
      <c r="A65" s="2" t="s">
        <v>121</v>
      </c>
      <c r="B65" s="3" t="n">
        <v>45827</v>
      </c>
      <c r="C65" s="2" t="s">
        <v>61</v>
      </c>
      <c r="D65" s="2" t="s">
        <v>78</v>
      </c>
      <c r="E65" s="2" t="s">
        <v>44</v>
      </c>
      <c r="F65" s="2" t="s">
        <v>56</v>
      </c>
      <c r="G65" s="2" t="s">
        <v>79</v>
      </c>
      <c r="H65" s="2" t="s">
        <v>17</v>
      </c>
      <c r="I65" s="2" t="n">
        <v>18</v>
      </c>
      <c r="J65" s="2" t="n">
        <v>8900</v>
      </c>
      <c r="K65" s="2" t="n">
        <v>0</v>
      </c>
    </row>
    <row r="66" customFormat="false" ht="15" hidden="false" customHeight="false" outlineLevel="0" collapsed="false">
      <c r="A66" s="2" t="s">
        <v>122</v>
      </c>
      <c r="B66" s="3" t="n">
        <v>45830</v>
      </c>
      <c r="C66" s="2" t="s">
        <v>40</v>
      </c>
      <c r="D66" s="2" t="s">
        <v>90</v>
      </c>
      <c r="E66" s="2" t="s">
        <v>65</v>
      </c>
      <c r="F66" s="2" t="s">
        <v>22</v>
      </c>
      <c r="G66" s="2" t="s">
        <v>23</v>
      </c>
      <c r="H66" s="2" t="s">
        <v>17</v>
      </c>
      <c r="I66" s="2" t="n">
        <v>7</v>
      </c>
      <c r="J66" s="2" t="n">
        <v>240</v>
      </c>
      <c r="K66" s="2" t="n">
        <v>0.05</v>
      </c>
    </row>
    <row r="67" customFormat="false" ht="15" hidden="false" customHeight="false" outlineLevel="0" collapsed="false">
      <c r="A67" s="2" t="s">
        <v>123</v>
      </c>
      <c r="B67" s="3" t="n">
        <v>45833</v>
      </c>
      <c r="C67" s="2" t="s">
        <v>12</v>
      </c>
      <c r="D67" s="2" t="s">
        <v>51</v>
      </c>
      <c r="E67" s="2" t="s">
        <v>53</v>
      </c>
      <c r="F67" s="2" t="s">
        <v>22</v>
      </c>
      <c r="G67" s="2" t="s">
        <v>35</v>
      </c>
      <c r="H67" s="2" t="s">
        <v>24</v>
      </c>
      <c r="I67" s="2" t="n">
        <v>7</v>
      </c>
      <c r="J67" s="2" t="n">
        <v>320</v>
      </c>
      <c r="K67" s="2" t="n">
        <v>0</v>
      </c>
    </row>
    <row r="68" customFormat="false" ht="15" hidden="false" customHeight="false" outlineLevel="0" collapsed="false">
      <c r="A68" s="2" t="s">
        <v>124</v>
      </c>
      <c r="B68" s="3" t="n">
        <v>45839</v>
      </c>
      <c r="C68" s="2" t="s">
        <v>40</v>
      </c>
      <c r="D68" s="2" t="s">
        <v>90</v>
      </c>
      <c r="E68" s="2" t="s">
        <v>21</v>
      </c>
      <c r="F68" s="2" t="s">
        <v>15</v>
      </c>
      <c r="G68" s="2" t="s">
        <v>16</v>
      </c>
      <c r="H68" s="2" t="s">
        <v>27</v>
      </c>
      <c r="I68" s="2" t="n">
        <v>7</v>
      </c>
      <c r="J68" s="2" t="n">
        <v>6500</v>
      </c>
      <c r="K68" s="2" t="n">
        <v>0</v>
      </c>
    </row>
    <row r="69" customFormat="false" ht="15" hidden="false" customHeight="false" outlineLevel="0" collapsed="false">
      <c r="A69" s="2" t="s">
        <v>125</v>
      </c>
      <c r="B69" s="3" t="n">
        <v>45843</v>
      </c>
      <c r="C69" s="2" t="s">
        <v>40</v>
      </c>
      <c r="D69" s="2" t="s">
        <v>46</v>
      </c>
      <c r="E69" s="2" t="s">
        <v>53</v>
      </c>
      <c r="F69" s="2" t="s">
        <v>22</v>
      </c>
      <c r="G69" s="2" t="s">
        <v>35</v>
      </c>
      <c r="H69" s="2" t="s">
        <v>24</v>
      </c>
      <c r="I69" s="2" t="n">
        <v>20</v>
      </c>
      <c r="J69" s="2" t="n">
        <v>320</v>
      </c>
      <c r="K69" s="2" t="n">
        <v>0</v>
      </c>
    </row>
    <row r="70" customFormat="false" ht="15" hidden="false" customHeight="false" outlineLevel="0" collapsed="false">
      <c r="A70" s="2" t="s">
        <v>126</v>
      </c>
      <c r="B70" s="3" t="n">
        <v>45843</v>
      </c>
      <c r="C70" s="2" t="s">
        <v>19</v>
      </c>
      <c r="D70" s="2" t="s">
        <v>70</v>
      </c>
      <c r="E70" s="2" t="s">
        <v>65</v>
      </c>
      <c r="F70" s="2" t="s">
        <v>56</v>
      </c>
      <c r="G70" s="2" t="s">
        <v>72</v>
      </c>
      <c r="H70" s="2" t="s">
        <v>27</v>
      </c>
      <c r="I70" s="2" t="n">
        <v>25</v>
      </c>
      <c r="J70" s="2" t="n">
        <v>1750</v>
      </c>
      <c r="K70" s="2" t="n">
        <v>0.1</v>
      </c>
    </row>
    <row r="71" customFormat="false" ht="15" hidden="false" customHeight="false" outlineLevel="0" collapsed="false">
      <c r="A71" s="2" t="s">
        <v>127</v>
      </c>
      <c r="B71" s="3" t="n">
        <v>45846</v>
      </c>
      <c r="C71" s="2" t="s">
        <v>19</v>
      </c>
      <c r="D71" s="2" t="s">
        <v>20</v>
      </c>
      <c r="E71" s="2" t="s">
        <v>29</v>
      </c>
      <c r="F71" s="2" t="s">
        <v>56</v>
      </c>
      <c r="G71" s="2" t="s">
        <v>79</v>
      </c>
      <c r="H71" s="2" t="s">
        <v>24</v>
      </c>
      <c r="I71" s="2" t="n">
        <v>9</v>
      </c>
      <c r="J71" s="2" t="n">
        <v>8900</v>
      </c>
      <c r="K71" s="2" t="n">
        <v>0.1</v>
      </c>
    </row>
    <row r="72" customFormat="false" ht="15" hidden="false" customHeight="false" outlineLevel="0" collapsed="false">
      <c r="A72" s="2" t="s">
        <v>128</v>
      </c>
      <c r="B72" s="3" t="n">
        <v>45847</v>
      </c>
      <c r="C72" s="2" t="s">
        <v>19</v>
      </c>
      <c r="D72" s="2" t="s">
        <v>70</v>
      </c>
      <c r="E72" s="2" t="s">
        <v>29</v>
      </c>
      <c r="F72" s="2" t="s">
        <v>15</v>
      </c>
      <c r="G72" s="2" t="s">
        <v>42</v>
      </c>
      <c r="H72" s="2" t="s">
        <v>27</v>
      </c>
      <c r="I72" s="2" t="n">
        <v>2</v>
      </c>
      <c r="J72" s="2" t="n">
        <v>3800</v>
      </c>
      <c r="K72" s="2" t="n">
        <v>0</v>
      </c>
    </row>
    <row r="73" customFormat="false" ht="15" hidden="false" customHeight="false" outlineLevel="0" collapsed="false">
      <c r="A73" s="2" t="s">
        <v>129</v>
      </c>
      <c r="B73" s="3" t="n">
        <v>45847</v>
      </c>
      <c r="C73" s="2" t="s">
        <v>12</v>
      </c>
      <c r="D73" s="2" t="s">
        <v>13</v>
      </c>
      <c r="E73" s="2" t="s">
        <v>14</v>
      </c>
      <c r="F73" s="2" t="s">
        <v>15</v>
      </c>
      <c r="G73" s="2" t="s">
        <v>16</v>
      </c>
      <c r="H73" s="2" t="s">
        <v>24</v>
      </c>
      <c r="I73" s="2" t="n">
        <v>15</v>
      </c>
      <c r="J73" s="2" t="n">
        <v>6500</v>
      </c>
      <c r="K73" s="2" t="n">
        <v>0</v>
      </c>
    </row>
    <row r="74" customFormat="false" ht="15" hidden="false" customHeight="false" outlineLevel="0" collapsed="false">
      <c r="A74" s="2" t="s">
        <v>130</v>
      </c>
      <c r="B74" s="3" t="n">
        <v>45848</v>
      </c>
      <c r="C74" s="2" t="s">
        <v>19</v>
      </c>
      <c r="D74" s="2" t="s">
        <v>70</v>
      </c>
      <c r="E74" s="2" t="s">
        <v>29</v>
      </c>
      <c r="F74" s="2" t="s">
        <v>56</v>
      </c>
      <c r="G74" s="2" t="s">
        <v>57</v>
      </c>
      <c r="H74" s="2" t="s">
        <v>24</v>
      </c>
      <c r="I74" s="2" t="n">
        <v>24</v>
      </c>
      <c r="J74" s="2" t="n">
        <v>2600</v>
      </c>
      <c r="K74" s="2" t="n">
        <v>0</v>
      </c>
    </row>
    <row r="75" customFormat="false" ht="15" hidden="false" customHeight="false" outlineLevel="0" collapsed="false">
      <c r="A75" s="2" t="s">
        <v>131</v>
      </c>
      <c r="B75" s="3" t="n">
        <v>45852</v>
      </c>
      <c r="C75" s="2" t="s">
        <v>12</v>
      </c>
      <c r="D75" s="2" t="s">
        <v>13</v>
      </c>
      <c r="E75" s="2" t="s">
        <v>21</v>
      </c>
      <c r="F75" s="2" t="s">
        <v>15</v>
      </c>
      <c r="G75" s="2" t="s">
        <v>49</v>
      </c>
      <c r="H75" s="2" t="s">
        <v>24</v>
      </c>
      <c r="I75" s="2" t="n">
        <v>15</v>
      </c>
      <c r="J75" s="2" t="n">
        <v>4200</v>
      </c>
      <c r="K75" s="2" t="n">
        <v>0.1</v>
      </c>
    </row>
    <row r="76" customFormat="false" ht="15" hidden="false" customHeight="false" outlineLevel="0" collapsed="false">
      <c r="A76" s="2" t="s">
        <v>132</v>
      </c>
      <c r="B76" s="3" t="n">
        <v>45852</v>
      </c>
      <c r="C76" s="2" t="s">
        <v>61</v>
      </c>
      <c r="D76" s="2" t="s">
        <v>38</v>
      </c>
      <c r="E76" s="2" t="s">
        <v>21</v>
      </c>
      <c r="F76" s="2" t="s">
        <v>56</v>
      </c>
      <c r="G76" s="2" t="s">
        <v>72</v>
      </c>
      <c r="H76" s="2" t="s">
        <v>27</v>
      </c>
      <c r="I76" s="2" t="n">
        <v>11</v>
      </c>
      <c r="J76" s="2" t="n">
        <v>1750</v>
      </c>
      <c r="K76" s="2" t="n">
        <v>0</v>
      </c>
    </row>
    <row r="77" customFormat="false" ht="15" hidden="false" customHeight="false" outlineLevel="0" collapsed="false">
      <c r="A77" s="2" t="s">
        <v>133</v>
      </c>
      <c r="B77" s="3" t="n">
        <v>45853</v>
      </c>
      <c r="C77" s="2" t="s">
        <v>12</v>
      </c>
      <c r="D77" s="2" t="s">
        <v>51</v>
      </c>
      <c r="E77" s="2" t="s">
        <v>26</v>
      </c>
      <c r="F77" s="2" t="s">
        <v>56</v>
      </c>
      <c r="G77" s="2" t="s">
        <v>57</v>
      </c>
      <c r="H77" s="2" t="s">
        <v>24</v>
      </c>
      <c r="I77" s="2" t="n">
        <v>8</v>
      </c>
      <c r="J77" s="2" t="n">
        <v>2600</v>
      </c>
      <c r="K77" s="2" t="n">
        <v>0</v>
      </c>
    </row>
    <row r="78" customFormat="false" ht="15" hidden="false" customHeight="false" outlineLevel="0" collapsed="false">
      <c r="A78" s="2" t="s">
        <v>134</v>
      </c>
      <c r="B78" s="3" t="n">
        <v>45854</v>
      </c>
      <c r="C78" s="2" t="s">
        <v>40</v>
      </c>
      <c r="D78" s="2" t="s">
        <v>46</v>
      </c>
      <c r="E78" s="2" t="s">
        <v>53</v>
      </c>
      <c r="F78" s="2" t="s">
        <v>56</v>
      </c>
      <c r="G78" s="2" t="s">
        <v>79</v>
      </c>
      <c r="H78" s="2" t="s">
        <v>24</v>
      </c>
      <c r="I78" s="2" t="n">
        <v>5</v>
      </c>
      <c r="J78" s="2" t="n">
        <v>8900</v>
      </c>
      <c r="K78" s="2" t="n">
        <v>0.1</v>
      </c>
    </row>
    <row r="79" customFormat="false" ht="15" hidden="false" customHeight="false" outlineLevel="0" collapsed="false">
      <c r="A79" s="2" t="s">
        <v>135</v>
      </c>
      <c r="B79" s="3" t="n">
        <v>45855</v>
      </c>
      <c r="C79" s="2" t="s">
        <v>19</v>
      </c>
      <c r="D79" s="2" t="s">
        <v>33</v>
      </c>
      <c r="E79" s="2" t="s">
        <v>29</v>
      </c>
      <c r="F79" s="2" t="s">
        <v>56</v>
      </c>
      <c r="G79" s="2" t="s">
        <v>79</v>
      </c>
      <c r="H79" s="2" t="s">
        <v>27</v>
      </c>
      <c r="I79" s="2" t="n">
        <v>13</v>
      </c>
      <c r="J79" s="2" t="n">
        <v>8900</v>
      </c>
      <c r="K79" s="2" t="n">
        <v>0</v>
      </c>
    </row>
    <row r="80" customFormat="false" ht="15" hidden="false" customHeight="false" outlineLevel="0" collapsed="false">
      <c r="A80" s="2" t="s">
        <v>136</v>
      </c>
      <c r="B80" s="3" t="n">
        <v>45857</v>
      </c>
      <c r="C80" s="2" t="s">
        <v>40</v>
      </c>
      <c r="D80" s="2" t="s">
        <v>90</v>
      </c>
      <c r="E80" s="2" t="s">
        <v>44</v>
      </c>
      <c r="F80" s="2" t="s">
        <v>30</v>
      </c>
      <c r="G80" s="2" t="s">
        <v>66</v>
      </c>
      <c r="H80" s="2" t="s">
        <v>24</v>
      </c>
      <c r="I80" s="2" t="n">
        <v>14</v>
      </c>
      <c r="J80" s="2" t="n">
        <v>1800</v>
      </c>
      <c r="K80" s="2" t="n">
        <v>0.05</v>
      </c>
    </row>
    <row r="81" customFormat="false" ht="15" hidden="false" customHeight="false" outlineLevel="0" collapsed="false">
      <c r="A81" s="2" t="s">
        <v>137</v>
      </c>
      <c r="B81" s="3" t="n">
        <v>45857</v>
      </c>
      <c r="C81" s="2" t="s">
        <v>40</v>
      </c>
      <c r="D81" s="2" t="s">
        <v>46</v>
      </c>
      <c r="E81" s="2" t="s">
        <v>14</v>
      </c>
      <c r="F81" s="2" t="s">
        <v>22</v>
      </c>
      <c r="G81" s="2" t="s">
        <v>47</v>
      </c>
      <c r="H81" s="2" t="s">
        <v>24</v>
      </c>
      <c r="I81" s="2" t="n">
        <v>25</v>
      </c>
      <c r="J81" s="2" t="n">
        <v>120</v>
      </c>
      <c r="K81" s="2" t="n">
        <v>0.1</v>
      </c>
    </row>
    <row r="82" customFormat="false" ht="15" hidden="false" customHeight="false" outlineLevel="0" collapsed="false">
      <c r="A82" s="2" t="s">
        <v>138</v>
      </c>
      <c r="B82" s="3" t="n">
        <v>45863</v>
      </c>
      <c r="C82" s="2" t="s">
        <v>12</v>
      </c>
      <c r="D82" s="2" t="s">
        <v>51</v>
      </c>
      <c r="E82" s="2" t="s">
        <v>44</v>
      </c>
      <c r="F82" s="2" t="s">
        <v>56</v>
      </c>
      <c r="G82" s="2" t="s">
        <v>72</v>
      </c>
      <c r="H82" s="2" t="s">
        <v>17</v>
      </c>
      <c r="I82" s="2" t="n">
        <v>7</v>
      </c>
      <c r="J82" s="2" t="n">
        <v>1750</v>
      </c>
      <c r="K82" s="2" t="n">
        <v>0.05</v>
      </c>
    </row>
    <row r="83" customFormat="false" ht="15" hidden="false" customHeight="false" outlineLevel="0" collapsed="false">
      <c r="A83" s="2" t="s">
        <v>139</v>
      </c>
      <c r="B83" s="3" t="n">
        <v>45863</v>
      </c>
      <c r="C83" s="2" t="s">
        <v>19</v>
      </c>
      <c r="D83" s="2" t="s">
        <v>33</v>
      </c>
      <c r="E83" s="2" t="s">
        <v>34</v>
      </c>
      <c r="F83" s="2" t="s">
        <v>56</v>
      </c>
      <c r="G83" s="2" t="s">
        <v>57</v>
      </c>
      <c r="H83" s="2" t="s">
        <v>17</v>
      </c>
      <c r="I83" s="2" t="n">
        <v>3</v>
      </c>
      <c r="J83" s="2" t="n">
        <v>2600</v>
      </c>
      <c r="K83" s="2" t="n">
        <v>0.1</v>
      </c>
    </row>
    <row r="84" customFormat="false" ht="15" hidden="false" customHeight="false" outlineLevel="0" collapsed="false">
      <c r="A84" s="2" t="s">
        <v>140</v>
      </c>
      <c r="B84" s="3" t="n">
        <v>45864</v>
      </c>
      <c r="C84" s="2" t="s">
        <v>40</v>
      </c>
      <c r="D84" s="2" t="s">
        <v>41</v>
      </c>
      <c r="E84" s="2" t="s">
        <v>26</v>
      </c>
      <c r="F84" s="2" t="s">
        <v>30</v>
      </c>
      <c r="G84" s="2" t="s">
        <v>91</v>
      </c>
      <c r="H84" s="2" t="s">
        <v>17</v>
      </c>
      <c r="I84" s="2" t="n">
        <v>2</v>
      </c>
      <c r="J84" s="2" t="n">
        <v>14500</v>
      </c>
      <c r="K84" s="2" t="n">
        <v>0</v>
      </c>
    </row>
    <row r="85" customFormat="false" ht="15" hidden="false" customHeight="false" outlineLevel="0" collapsed="false">
      <c r="A85" s="2" t="s">
        <v>141</v>
      </c>
      <c r="B85" s="3" t="n">
        <v>45866</v>
      </c>
      <c r="C85" s="2" t="s">
        <v>40</v>
      </c>
      <c r="D85" s="2" t="s">
        <v>41</v>
      </c>
      <c r="E85" s="2" t="s">
        <v>21</v>
      </c>
      <c r="F85" s="2" t="s">
        <v>30</v>
      </c>
      <c r="G85" s="2" t="s">
        <v>86</v>
      </c>
      <c r="H85" s="2" t="s">
        <v>17</v>
      </c>
      <c r="I85" s="2" t="n">
        <v>20</v>
      </c>
      <c r="J85" s="2" t="n">
        <v>42500</v>
      </c>
      <c r="K85" s="2" t="n">
        <v>0</v>
      </c>
    </row>
    <row r="86" customFormat="false" ht="15" hidden="false" customHeight="false" outlineLevel="0" collapsed="false">
      <c r="A86" s="2" t="s">
        <v>142</v>
      </c>
      <c r="B86" s="3" t="n">
        <v>45868</v>
      </c>
      <c r="C86" s="2" t="s">
        <v>40</v>
      </c>
      <c r="D86" s="2" t="s">
        <v>46</v>
      </c>
      <c r="E86" s="2" t="s">
        <v>53</v>
      </c>
      <c r="F86" s="2" t="s">
        <v>15</v>
      </c>
      <c r="G86" s="2" t="s">
        <v>42</v>
      </c>
      <c r="H86" s="2" t="s">
        <v>27</v>
      </c>
      <c r="I86" s="2" t="n">
        <v>11</v>
      </c>
      <c r="J86" s="2" t="n">
        <v>3800</v>
      </c>
      <c r="K86" s="2" t="n">
        <v>0</v>
      </c>
    </row>
    <row r="87" customFormat="false" ht="15" hidden="false" customHeight="false" outlineLevel="0" collapsed="false">
      <c r="A87" s="2" t="s">
        <v>143</v>
      </c>
      <c r="B87" s="3" t="n">
        <v>45868</v>
      </c>
      <c r="C87" s="2" t="s">
        <v>61</v>
      </c>
      <c r="D87" s="2" t="s">
        <v>62</v>
      </c>
      <c r="E87" s="2" t="s">
        <v>29</v>
      </c>
      <c r="F87" s="2" t="s">
        <v>15</v>
      </c>
      <c r="G87" s="2" t="s">
        <v>49</v>
      </c>
      <c r="H87" s="2" t="s">
        <v>17</v>
      </c>
      <c r="I87" s="2" t="n">
        <v>17</v>
      </c>
      <c r="J87" s="2" t="n">
        <v>4200</v>
      </c>
      <c r="K87" s="2" t="n">
        <v>0</v>
      </c>
    </row>
    <row r="88" customFormat="false" ht="15" hidden="false" customHeight="false" outlineLevel="0" collapsed="false">
      <c r="A88" s="2" t="s">
        <v>144</v>
      </c>
      <c r="B88" s="3" t="n">
        <v>45870</v>
      </c>
      <c r="C88" s="2" t="s">
        <v>12</v>
      </c>
      <c r="D88" s="2" t="s">
        <v>51</v>
      </c>
      <c r="E88" s="2" t="s">
        <v>65</v>
      </c>
      <c r="F88" s="2" t="s">
        <v>22</v>
      </c>
      <c r="G88" s="2" t="s">
        <v>47</v>
      </c>
      <c r="H88" s="2" t="s">
        <v>27</v>
      </c>
      <c r="I88" s="2" t="n">
        <v>13</v>
      </c>
      <c r="J88" s="2" t="n">
        <v>120</v>
      </c>
      <c r="K88" s="2" t="n">
        <v>0.05</v>
      </c>
    </row>
    <row r="89" customFormat="false" ht="15" hidden="false" customHeight="false" outlineLevel="0" collapsed="false">
      <c r="A89" s="2" t="s">
        <v>145</v>
      </c>
      <c r="B89" s="3" t="n">
        <v>45874</v>
      </c>
      <c r="C89" s="2" t="s">
        <v>19</v>
      </c>
      <c r="D89" s="2" t="s">
        <v>68</v>
      </c>
      <c r="E89" s="2" t="s">
        <v>34</v>
      </c>
      <c r="F89" s="2" t="s">
        <v>22</v>
      </c>
      <c r="G89" s="2" t="s">
        <v>47</v>
      </c>
      <c r="H89" s="2" t="s">
        <v>17</v>
      </c>
      <c r="I89" s="2" t="n">
        <v>10</v>
      </c>
      <c r="J89" s="2" t="n">
        <v>120</v>
      </c>
      <c r="K89" s="2" t="n">
        <v>0</v>
      </c>
    </row>
    <row r="90" customFormat="false" ht="15" hidden="false" customHeight="false" outlineLevel="0" collapsed="false">
      <c r="A90" s="2" t="s">
        <v>146</v>
      </c>
      <c r="B90" s="3" t="n">
        <v>45874</v>
      </c>
      <c r="C90" s="2" t="s">
        <v>40</v>
      </c>
      <c r="D90" s="2" t="s">
        <v>90</v>
      </c>
      <c r="E90" s="2" t="s">
        <v>21</v>
      </c>
      <c r="F90" s="2" t="s">
        <v>30</v>
      </c>
      <c r="G90" s="2" t="s">
        <v>91</v>
      </c>
      <c r="H90" s="2" t="s">
        <v>17</v>
      </c>
      <c r="I90" s="2" t="n">
        <v>21</v>
      </c>
      <c r="J90" s="2" t="n">
        <v>14500</v>
      </c>
      <c r="K90" s="2" t="n">
        <v>0</v>
      </c>
    </row>
    <row r="91" customFormat="false" ht="15" hidden="false" customHeight="false" outlineLevel="0" collapsed="false">
      <c r="A91" s="2" t="s">
        <v>146</v>
      </c>
      <c r="B91" s="3" t="n">
        <v>45874</v>
      </c>
      <c r="C91" s="2" t="s">
        <v>40</v>
      </c>
      <c r="D91" s="2" t="s">
        <v>90</v>
      </c>
      <c r="E91" s="2" t="s">
        <v>21</v>
      </c>
      <c r="F91" s="2" t="s">
        <v>30</v>
      </c>
      <c r="G91" s="2" t="s">
        <v>91</v>
      </c>
      <c r="H91" s="2" t="s">
        <v>17</v>
      </c>
      <c r="I91" s="2" t="n">
        <v>21</v>
      </c>
      <c r="J91" s="2" t="n">
        <v>14500</v>
      </c>
      <c r="K91" s="2" t="n">
        <v>0</v>
      </c>
    </row>
    <row r="92" customFormat="false" ht="15" hidden="false" customHeight="false" outlineLevel="0" collapsed="false">
      <c r="A92" s="2" t="s">
        <v>147</v>
      </c>
      <c r="B92" s="3" t="n">
        <v>45878</v>
      </c>
      <c r="C92" s="2" t="s">
        <v>40</v>
      </c>
      <c r="D92" s="2" t="s">
        <v>46</v>
      </c>
      <c r="E92" s="2" t="s">
        <v>26</v>
      </c>
      <c r="F92" s="2" t="s">
        <v>30</v>
      </c>
      <c r="G92" s="2" t="s">
        <v>91</v>
      </c>
      <c r="H92" s="2" t="s">
        <v>27</v>
      </c>
      <c r="I92" s="2" t="n">
        <v>22</v>
      </c>
      <c r="J92" s="2" t="n">
        <v>14500</v>
      </c>
      <c r="K92" s="2" t="n">
        <v>0.05</v>
      </c>
    </row>
    <row r="93" customFormat="false" ht="15" hidden="false" customHeight="false" outlineLevel="0" collapsed="false">
      <c r="A93" s="2" t="s">
        <v>148</v>
      </c>
      <c r="B93" s="3" t="n">
        <v>45879</v>
      </c>
      <c r="C93" s="2" t="s">
        <v>61</v>
      </c>
      <c r="D93" s="2" t="s">
        <v>38</v>
      </c>
      <c r="E93" s="2" t="s">
        <v>26</v>
      </c>
      <c r="F93" s="2" t="s">
        <v>56</v>
      </c>
      <c r="G93" s="2" t="s">
        <v>72</v>
      </c>
      <c r="H93" s="2" t="s">
        <v>24</v>
      </c>
      <c r="I93" s="2" t="n">
        <v>4</v>
      </c>
      <c r="J93" s="2" t="n">
        <v>1750</v>
      </c>
      <c r="K93" s="2" t="n">
        <v>0.05</v>
      </c>
    </row>
    <row r="94" customFormat="false" ht="15" hidden="false" customHeight="false" outlineLevel="0" collapsed="false">
      <c r="A94" s="2" t="s">
        <v>149</v>
      </c>
      <c r="B94" s="3" t="n">
        <v>45880</v>
      </c>
      <c r="C94" s="2" t="s">
        <v>61</v>
      </c>
      <c r="D94" s="2" t="s">
        <v>78</v>
      </c>
      <c r="E94" s="2" t="s">
        <v>29</v>
      </c>
      <c r="F94" s="2" t="s">
        <v>22</v>
      </c>
      <c r="G94" s="2" t="s">
        <v>23</v>
      </c>
      <c r="H94" s="2" t="s">
        <v>27</v>
      </c>
      <c r="I94" s="2" t="n">
        <v>10</v>
      </c>
      <c r="J94" s="2" t="n">
        <v>240</v>
      </c>
      <c r="K94" s="2" t="n">
        <v>0</v>
      </c>
    </row>
    <row r="95" customFormat="false" ht="15" hidden="false" customHeight="false" outlineLevel="0" collapsed="false">
      <c r="A95" s="2" t="s">
        <v>150</v>
      </c>
      <c r="B95" s="3" t="n">
        <v>45884</v>
      </c>
      <c r="C95" s="2" t="s">
        <v>61</v>
      </c>
      <c r="D95" s="2" t="s">
        <v>38</v>
      </c>
      <c r="E95" s="2" t="s">
        <v>14</v>
      </c>
      <c r="F95" s="2" t="s">
        <v>22</v>
      </c>
      <c r="G95" s="2" t="s">
        <v>23</v>
      </c>
      <c r="H95" s="2" t="s">
        <v>24</v>
      </c>
      <c r="I95" s="2" t="n">
        <v>24</v>
      </c>
      <c r="J95" s="2" t="n">
        <v>240</v>
      </c>
      <c r="K95" s="2" t="n">
        <v>0</v>
      </c>
    </row>
    <row r="96" customFormat="false" ht="15" hidden="false" customHeight="false" outlineLevel="0" collapsed="false">
      <c r="A96" s="2" t="s">
        <v>151</v>
      </c>
      <c r="B96" s="3" t="n">
        <v>45885</v>
      </c>
      <c r="C96" s="2" t="s">
        <v>40</v>
      </c>
      <c r="D96" s="2" t="s">
        <v>90</v>
      </c>
      <c r="E96" s="2" t="s">
        <v>65</v>
      </c>
      <c r="F96" s="2" t="s">
        <v>30</v>
      </c>
      <c r="G96" s="2" t="s">
        <v>86</v>
      </c>
      <c r="H96" s="2" t="s">
        <v>17</v>
      </c>
      <c r="I96" s="2" t="n">
        <v>23</v>
      </c>
      <c r="J96" s="2" t="n">
        <v>42500</v>
      </c>
      <c r="K96" s="2" t="n">
        <v>0</v>
      </c>
    </row>
    <row r="97" customFormat="false" ht="15" hidden="false" customHeight="false" outlineLevel="0" collapsed="false">
      <c r="A97" s="2" t="s">
        <v>152</v>
      </c>
      <c r="B97" s="3" t="n">
        <v>45888</v>
      </c>
      <c r="C97" s="2" t="s">
        <v>40</v>
      </c>
      <c r="D97" s="2" t="s">
        <v>41</v>
      </c>
      <c r="E97" s="2" t="s">
        <v>34</v>
      </c>
      <c r="F97" s="2" t="s">
        <v>15</v>
      </c>
      <c r="G97" s="2" t="s">
        <v>42</v>
      </c>
      <c r="H97" s="2" t="s">
        <v>27</v>
      </c>
      <c r="I97" s="2" t="n">
        <v>13</v>
      </c>
      <c r="J97" s="2" t="n">
        <v>3800</v>
      </c>
      <c r="K97" s="2" t="n">
        <v>0.1</v>
      </c>
    </row>
    <row r="98" customFormat="false" ht="15" hidden="false" customHeight="false" outlineLevel="0" collapsed="false">
      <c r="A98" s="2" t="s">
        <v>153</v>
      </c>
      <c r="B98" s="3" t="n">
        <v>45889</v>
      </c>
      <c r="C98" s="2" t="s">
        <v>40</v>
      </c>
      <c r="D98" s="2" t="s">
        <v>41</v>
      </c>
      <c r="E98" s="2" t="s">
        <v>65</v>
      </c>
      <c r="F98" s="2" t="s">
        <v>22</v>
      </c>
      <c r="G98" s="2" t="s">
        <v>47</v>
      </c>
      <c r="H98" s="2" t="s">
        <v>17</v>
      </c>
      <c r="I98" s="2" t="n">
        <v>17</v>
      </c>
      <c r="J98" s="2" t="n">
        <v>120</v>
      </c>
      <c r="K98" s="2" t="n">
        <v>0</v>
      </c>
    </row>
    <row r="99" customFormat="false" ht="15" hidden="false" customHeight="false" outlineLevel="0" collapsed="false">
      <c r="A99" s="2" t="s">
        <v>154</v>
      </c>
      <c r="B99" s="3" t="n">
        <v>45890</v>
      </c>
      <c r="C99" s="2" t="s">
        <v>61</v>
      </c>
      <c r="D99" s="2" t="s">
        <v>62</v>
      </c>
      <c r="E99" s="2" t="s">
        <v>21</v>
      </c>
      <c r="F99" s="2" t="s">
        <v>22</v>
      </c>
      <c r="G99" s="2" t="s">
        <v>47</v>
      </c>
      <c r="H99" s="2" t="s">
        <v>27</v>
      </c>
      <c r="I99" s="2" t="n">
        <v>23</v>
      </c>
      <c r="J99" s="2" t="n">
        <v>120</v>
      </c>
      <c r="K99" s="2" t="n">
        <v>0</v>
      </c>
    </row>
    <row r="100" customFormat="false" ht="15" hidden="false" customHeight="false" outlineLevel="0" collapsed="false">
      <c r="A100" s="2" t="s">
        <v>155</v>
      </c>
      <c r="B100" s="3" t="n">
        <v>45890</v>
      </c>
      <c r="C100" s="2" t="s">
        <v>40</v>
      </c>
      <c r="D100" s="2" t="s">
        <v>90</v>
      </c>
      <c r="E100" s="2" t="s">
        <v>65</v>
      </c>
      <c r="F100" s="2" t="s">
        <v>56</v>
      </c>
      <c r="G100" s="2" t="s">
        <v>79</v>
      </c>
      <c r="H100" s="2" t="s">
        <v>27</v>
      </c>
      <c r="I100" s="2" t="n">
        <v>2</v>
      </c>
      <c r="J100" s="2" t="n">
        <v>8900</v>
      </c>
      <c r="K100" s="2" t="n">
        <v>0</v>
      </c>
    </row>
    <row r="101" customFormat="false" ht="15" hidden="false" customHeight="false" outlineLevel="0" collapsed="false">
      <c r="A101" s="2" t="s">
        <v>156</v>
      </c>
      <c r="B101" s="3" t="n">
        <v>45890</v>
      </c>
      <c r="C101" s="2" t="s">
        <v>19</v>
      </c>
      <c r="D101" s="2" t="s">
        <v>68</v>
      </c>
      <c r="E101" s="2" t="s">
        <v>65</v>
      </c>
      <c r="F101" s="2" t="s">
        <v>22</v>
      </c>
      <c r="G101" s="2" t="s">
        <v>23</v>
      </c>
      <c r="H101" s="2" t="s">
        <v>24</v>
      </c>
      <c r="I101" s="2" t="n">
        <v>4</v>
      </c>
      <c r="J101" s="2" t="n">
        <v>240</v>
      </c>
      <c r="K101" s="2" t="n">
        <v>0</v>
      </c>
    </row>
    <row r="102" customFormat="false" ht="15" hidden="false" customHeight="false" outlineLevel="0" collapsed="false">
      <c r="A102" s="2" t="s">
        <v>157</v>
      </c>
      <c r="B102" s="3" t="n">
        <v>45901</v>
      </c>
      <c r="C102" s="2" t="s">
        <v>40</v>
      </c>
      <c r="D102" s="2" t="s">
        <v>41</v>
      </c>
      <c r="E102" s="2" t="s">
        <v>34</v>
      </c>
      <c r="F102" s="2" t="s">
        <v>56</v>
      </c>
      <c r="G102" s="2" t="s">
        <v>57</v>
      </c>
      <c r="H102" s="2" t="s">
        <v>27</v>
      </c>
      <c r="I102" s="2" t="n">
        <v>24</v>
      </c>
      <c r="J102" s="2" t="n">
        <v>2600</v>
      </c>
      <c r="K102" s="2" t="n">
        <v>0</v>
      </c>
    </row>
    <row r="103" customFormat="false" ht="15" hidden="false" customHeight="false" outlineLevel="0" collapsed="false">
      <c r="A103" s="2" t="s">
        <v>158</v>
      </c>
      <c r="B103" s="3" t="n">
        <v>45903</v>
      </c>
      <c r="C103" s="2" t="s">
        <v>40</v>
      </c>
      <c r="D103" s="2" t="s">
        <v>46</v>
      </c>
      <c r="E103" s="2" t="s">
        <v>34</v>
      </c>
      <c r="F103" s="2" t="s">
        <v>30</v>
      </c>
      <c r="G103" s="2" t="s">
        <v>31</v>
      </c>
      <c r="H103" s="2" t="s">
        <v>27</v>
      </c>
      <c r="I103" s="2" t="n">
        <v>16</v>
      </c>
      <c r="J103" s="2" t="n">
        <v>11999</v>
      </c>
      <c r="K103" s="2" t="n">
        <v>0</v>
      </c>
    </row>
    <row r="104" customFormat="false" ht="15" hidden="false" customHeight="false" outlineLevel="0" collapsed="false">
      <c r="A104" s="2" t="s">
        <v>159</v>
      </c>
      <c r="B104" s="3" t="n">
        <v>45904</v>
      </c>
      <c r="C104" s="2" t="s">
        <v>61</v>
      </c>
      <c r="D104" s="2" t="s">
        <v>78</v>
      </c>
      <c r="E104" s="2" t="s">
        <v>21</v>
      </c>
      <c r="F104" s="2" t="s">
        <v>22</v>
      </c>
      <c r="G104" s="2" t="s">
        <v>23</v>
      </c>
      <c r="H104" s="2" t="s">
        <v>24</v>
      </c>
      <c r="I104" s="2" t="n">
        <v>9</v>
      </c>
      <c r="J104" s="2" t="n">
        <v>240</v>
      </c>
      <c r="K104" s="2" t="n">
        <v>0</v>
      </c>
    </row>
    <row r="105" customFormat="false" ht="15" hidden="false" customHeight="false" outlineLevel="0" collapsed="false">
      <c r="A105" s="2" t="s">
        <v>160</v>
      </c>
      <c r="B105" s="3" t="n">
        <v>45906</v>
      </c>
      <c r="C105" s="2" t="s">
        <v>12</v>
      </c>
      <c r="D105" s="2" t="s">
        <v>51</v>
      </c>
      <c r="E105" s="2" t="s">
        <v>44</v>
      </c>
      <c r="F105" s="2" t="s">
        <v>15</v>
      </c>
      <c r="G105" s="2" t="s">
        <v>16</v>
      </c>
      <c r="H105" s="2" t="s">
        <v>27</v>
      </c>
      <c r="I105" s="2" t="n">
        <v>14</v>
      </c>
      <c r="J105" s="2" t="n">
        <v>6500</v>
      </c>
      <c r="K105" s="2" t="n">
        <v>0</v>
      </c>
    </row>
    <row r="106" customFormat="false" ht="15" hidden="false" customHeight="false" outlineLevel="0" collapsed="false">
      <c r="A106" s="2" t="s">
        <v>161</v>
      </c>
      <c r="B106" s="3" t="n">
        <v>45907</v>
      </c>
      <c r="C106" s="2" t="s">
        <v>19</v>
      </c>
      <c r="D106" s="2" t="s">
        <v>33</v>
      </c>
      <c r="E106" s="2" t="s">
        <v>44</v>
      </c>
      <c r="F106" s="2" t="s">
        <v>56</v>
      </c>
      <c r="G106" s="2" t="s">
        <v>72</v>
      </c>
      <c r="H106" s="2" t="s">
        <v>24</v>
      </c>
      <c r="I106" s="2" t="n">
        <v>21</v>
      </c>
      <c r="J106" s="2" t="n">
        <v>1750</v>
      </c>
      <c r="K106" s="2" t="n">
        <v>0</v>
      </c>
    </row>
    <row r="107" customFormat="false" ht="15" hidden="false" customHeight="false" outlineLevel="0" collapsed="false">
      <c r="A107" s="2" t="s">
        <v>162</v>
      </c>
      <c r="B107" s="3" t="n">
        <v>45909</v>
      </c>
      <c r="C107" s="2" t="s">
        <v>12</v>
      </c>
      <c r="D107" s="2" t="s">
        <v>13</v>
      </c>
      <c r="E107" s="2" t="s">
        <v>34</v>
      </c>
      <c r="F107" s="2" t="s">
        <v>56</v>
      </c>
      <c r="G107" s="2" t="s">
        <v>79</v>
      </c>
      <c r="H107" s="2" t="s">
        <v>17</v>
      </c>
      <c r="I107" s="2" t="n">
        <v>23</v>
      </c>
      <c r="J107" s="2" t="n">
        <v>8900</v>
      </c>
      <c r="K107" s="2" t="n">
        <v>0</v>
      </c>
    </row>
    <row r="108" customFormat="false" ht="15" hidden="false" customHeight="false" outlineLevel="0" collapsed="false">
      <c r="A108" s="2" t="s">
        <v>163</v>
      </c>
      <c r="B108" s="3" t="n">
        <v>45913</v>
      </c>
      <c r="C108" s="2" t="s">
        <v>19</v>
      </c>
      <c r="D108" s="2" t="s">
        <v>20</v>
      </c>
      <c r="E108" s="2" t="s">
        <v>14</v>
      </c>
      <c r="F108" s="2" t="s">
        <v>22</v>
      </c>
      <c r="G108" s="2" t="s">
        <v>23</v>
      </c>
      <c r="H108" s="2" t="s">
        <v>24</v>
      </c>
      <c r="I108" s="2" t="n">
        <v>21</v>
      </c>
      <c r="J108" s="2" t="n">
        <v>240</v>
      </c>
      <c r="K108" s="2" t="n">
        <v>0.05</v>
      </c>
    </row>
    <row r="109" customFormat="false" ht="15" hidden="false" customHeight="false" outlineLevel="0" collapsed="false">
      <c r="A109" s="2" t="s">
        <v>164</v>
      </c>
      <c r="B109" s="3" t="n">
        <v>45913</v>
      </c>
      <c r="C109" s="2" t="s">
        <v>12</v>
      </c>
      <c r="D109" s="2" t="s">
        <v>13</v>
      </c>
      <c r="E109" s="2" t="s">
        <v>34</v>
      </c>
      <c r="F109" s="2" t="s">
        <v>22</v>
      </c>
      <c r="G109" s="2" t="s">
        <v>35</v>
      </c>
      <c r="H109" s="2" t="s">
        <v>17</v>
      </c>
      <c r="I109" s="2" t="n">
        <v>25</v>
      </c>
      <c r="J109" s="2" t="n">
        <v>320</v>
      </c>
      <c r="K109" s="2" t="n">
        <v>0</v>
      </c>
    </row>
    <row r="110" customFormat="false" ht="15" hidden="false" customHeight="false" outlineLevel="0" collapsed="false">
      <c r="A110" s="2" t="s">
        <v>165</v>
      </c>
      <c r="B110" s="3" t="n">
        <v>45917</v>
      </c>
      <c r="C110" s="2" t="s">
        <v>12</v>
      </c>
      <c r="D110" s="2" t="s">
        <v>81</v>
      </c>
      <c r="E110" s="2" t="s">
        <v>21</v>
      </c>
      <c r="F110" s="2" t="s">
        <v>22</v>
      </c>
      <c r="G110" s="2" t="s">
        <v>47</v>
      </c>
      <c r="H110" s="2" t="s">
        <v>17</v>
      </c>
      <c r="I110" s="2" t="n">
        <v>11</v>
      </c>
      <c r="J110" s="2" t="n">
        <v>120</v>
      </c>
      <c r="K110" s="2" t="n">
        <v>0</v>
      </c>
    </row>
    <row r="111" customFormat="false" ht="15" hidden="false" customHeight="false" outlineLevel="0" collapsed="false">
      <c r="A111" s="2" t="s">
        <v>166</v>
      </c>
      <c r="B111" s="3" t="n">
        <v>45921</v>
      </c>
      <c r="C111" s="2" t="s">
        <v>12</v>
      </c>
      <c r="D111" s="2" t="s">
        <v>81</v>
      </c>
      <c r="E111" s="2" t="s">
        <v>53</v>
      </c>
      <c r="F111" s="2" t="s">
        <v>30</v>
      </c>
      <c r="G111" s="2" t="s">
        <v>31</v>
      </c>
      <c r="H111" s="2" t="s">
        <v>27</v>
      </c>
      <c r="I111" s="2"/>
      <c r="J111" s="2" t="n">
        <v>11999</v>
      </c>
      <c r="K111" s="2" t="n">
        <v>0.05</v>
      </c>
    </row>
    <row r="112" customFormat="false" ht="15" hidden="false" customHeight="false" outlineLevel="0" collapsed="false">
      <c r="A112" s="2" t="s">
        <v>167</v>
      </c>
      <c r="B112" s="3" t="n">
        <v>45923</v>
      </c>
      <c r="C112" s="2" t="s">
        <v>19</v>
      </c>
      <c r="D112" s="2" t="s">
        <v>68</v>
      </c>
      <c r="E112" s="2" t="s">
        <v>34</v>
      </c>
      <c r="F112" s="2" t="s">
        <v>15</v>
      </c>
      <c r="G112" s="2" t="s">
        <v>49</v>
      </c>
      <c r="H112" s="2" t="s">
        <v>17</v>
      </c>
      <c r="I112" s="2" t="n">
        <v>23</v>
      </c>
      <c r="J112" s="2" t="n">
        <v>4200</v>
      </c>
      <c r="K112" s="2" t="n">
        <v>0.1</v>
      </c>
    </row>
    <row r="113" customFormat="false" ht="15" hidden="false" customHeight="false" outlineLevel="0" collapsed="false">
      <c r="A113" s="2" t="s">
        <v>168</v>
      </c>
      <c r="B113" s="3" t="n">
        <v>45929</v>
      </c>
      <c r="C113" s="2" t="s">
        <v>12</v>
      </c>
      <c r="D113" s="2" t="s">
        <v>81</v>
      </c>
      <c r="E113" s="2" t="s">
        <v>44</v>
      </c>
      <c r="F113" s="2" t="s">
        <v>22</v>
      </c>
      <c r="G113" s="2" t="s">
        <v>23</v>
      </c>
      <c r="H113" s="2" t="s">
        <v>24</v>
      </c>
      <c r="I113" s="2" t="n">
        <v>18</v>
      </c>
      <c r="J113" s="2" t="n">
        <v>240</v>
      </c>
      <c r="K113" s="2" t="n">
        <v>0</v>
      </c>
    </row>
    <row r="114" customFormat="false" ht="15" hidden="false" customHeight="false" outlineLevel="0" collapsed="false">
      <c r="A114" s="2" t="s">
        <v>169</v>
      </c>
      <c r="B114" s="3" t="n">
        <v>45930</v>
      </c>
      <c r="C114" s="2" t="s">
        <v>19</v>
      </c>
      <c r="D114" s="2" t="s">
        <v>70</v>
      </c>
      <c r="E114" s="2" t="s">
        <v>29</v>
      </c>
      <c r="F114" s="2" t="s">
        <v>56</v>
      </c>
      <c r="G114" s="2" t="s">
        <v>57</v>
      </c>
      <c r="H114" s="2" t="s">
        <v>17</v>
      </c>
      <c r="I114" s="2" t="n">
        <v>25</v>
      </c>
      <c r="J114" s="2" t="n">
        <v>2600</v>
      </c>
      <c r="K114" s="2" t="n">
        <v>0.05</v>
      </c>
    </row>
    <row r="115" customFormat="false" ht="15" hidden="false" customHeight="false" outlineLevel="0" collapsed="false">
      <c r="A115" s="2" t="s">
        <v>170</v>
      </c>
      <c r="B115" s="3" t="n">
        <v>45932</v>
      </c>
      <c r="C115" s="2" t="s">
        <v>12</v>
      </c>
      <c r="D115" s="2" t="s">
        <v>81</v>
      </c>
      <c r="E115" s="2" t="s">
        <v>29</v>
      </c>
      <c r="F115" s="2" t="s">
        <v>15</v>
      </c>
      <c r="G115" s="2" t="s">
        <v>16</v>
      </c>
      <c r="H115" s="2" t="s">
        <v>17</v>
      </c>
      <c r="I115" s="2" t="n">
        <v>4</v>
      </c>
      <c r="J115" s="2" t="n">
        <v>6500</v>
      </c>
      <c r="K115" s="2" t="n">
        <v>0</v>
      </c>
    </row>
    <row r="116" customFormat="false" ht="15" hidden="false" customHeight="false" outlineLevel="0" collapsed="false">
      <c r="A116" s="2" t="s">
        <v>171</v>
      </c>
      <c r="B116" s="3" t="n">
        <v>45933</v>
      </c>
      <c r="C116" s="2" t="s">
        <v>61</v>
      </c>
      <c r="D116" s="2" t="s">
        <v>78</v>
      </c>
      <c r="E116" s="2" t="s">
        <v>34</v>
      </c>
      <c r="F116" s="2" t="s">
        <v>56</v>
      </c>
      <c r="G116" s="2" t="s">
        <v>57</v>
      </c>
      <c r="H116" s="2" t="s">
        <v>27</v>
      </c>
      <c r="I116" s="2" t="n">
        <v>15</v>
      </c>
      <c r="J116" s="2" t="n">
        <v>2600</v>
      </c>
      <c r="K116" s="2" t="n">
        <v>0</v>
      </c>
    </row>
    <row r="117" customFormat="false" ht="15" hidden="false" customHeight="false" outlineLevel="0" collapsed="false">
      <c r="A117" s="2" t="s">
        <v>172</v>
      </c>
      <c r="B117" s="3" t="n">
        <v>45934</v>
      </c>
      <c r="C117" s="2" t="s">
        <v>19</v>
      </c>
      <c r="D117" s="2" t="s">
        <v>68</v>
      </c>
      <c r="E117" s="2" t="s">
        <v>44</v>
      </c>
      <c r="F117" s="2" t="s">
        <v>30</v>
      </c>
      <c r="G117" s="2" t="s">
        <v>91</v>
      </c>
      <c r="H117" s="2" t="s">
        <v>17</v>
      </c>
      <c r="I117" s="2" t="n">
        <v>21</v>
      </c>
      <c r="J117" s="2" t="n">
        <v>14500</v>
      </c>
      <c r="K117" s="2" t="n">
        <v>0</v>
      </c>
    </row>
    <row r="118" customFormat="false" ht="15" hidden="false" customHeight="false" outlineLevel="0" collapsed="false">
      <c r="A118" s="2" t="s">
        <v>173</v>
      </c>
      <c r="B118" s="3" t="n">
        <v>45945</v>
      </c>
      <c r="C118" s="2" t="s">
        <v>12</v>
      </c>
      <c r="D118" s="2" t="s">
        <v>51</v>
      </c>
      <c r="E118" s="2" t="s">
        <v>21</v>
      </c>
      <c r="F118" s="2" t="s">
        <v>15</v>
      </c>
      <c r="G118" s="2" t="s">
        <v>49</v>
      </c>
      <c r="H118" s="2" t="s">
        <v>24</v>
      </c>
      <c r="I118" s="2" t="n">
        <v>24</v>
      </c>
      <c r="J118" s="2" t="n">
        <v>4200</v>
      </c>
      <c r="K118" s="2" t="n">
        <v>0.1</v>
      </c>
    </row>
    <row r="119" customFormat="false" ht="15" hidden="false" customHeight="false" outlineLevel="0" collapsed="false">
      <c r="A119" s="2" t="s">
        <v>174</v>
      </c>
      <c r="B119" s="3" t="n">
        <v>45947</v>
      </c>
      <c r="C119" s="2" t="s">
        <v>61</v>
      </c>
      <c r="D119" s="2" t="s">
        <v>38</v>
      </c>
      <c r="E119" s="2" t="s">
        <v>44</v>
      </c>
      <c r="F119" s="2" t="s">
        <v>56</v>
      </c>
      <c r="G119" s="2" t="s">
        <v>72</v>
      </c>
      <c r="H119" s="2" t="s">
        <v>24</v>
      </c>
      <c r="I119" s="2" t="n">
        <v>1</v>
      </c>
      <c r="J119" s="2" t="n">
        <v>1750</v>
      </c>
      <c r="K119" s="2" t="n">
        <v>0.05</v>
      </c>
    </row>
    <row r="120" customFormat="false" ht="15" hidden="false" customHeight="false" outlineLevel="0" collapsed="false">
      <c r="A120" s="2" t="s">
        <v>175</v>
      </c>
      <c r="B120" s="3" t="n">
        <v>45947</v>
      </c>
      <c r="C120" s="2" t="s">
        <v>19</v>
      </c>
      <c r="D120" s="2" t="s">
        <v>70</v>
      </c>
      <c r="E120" s="2" t="s">
        <v>53</v>
      </c>
      <c r="F120" s="2" t="s">
        <v>22</v>
      </c>
      <c r="G120" s="2" t="s">
        <v>23</v>
      </c>
      <c r="H120" s="2" t="s">
        <v>17</v>
      </c>
      <c r="I120" s="2" t="n">
        <v>5</v>
      </c>
      <c r="J120" s="2" t="n">
        <v>240</v>
      </c>
      <c r="K120" s="2" t="n">
        <v>0.1</v>
      </c>
    </row>
    <row r="121" customFormat="false" ht="15" hidden="false" customHeight="false" outlineLevel="0" collapsed="false">
      <c r="A121" s="2" t="s">
        <v>176</v>
      </c>
      <c r="B121" s="3" t="n">
        <v>45953</v>
      </c>
      <c r="C121" s="2" t="s">
        <v>12</v>
      </c>
      <c r="D121" s="2" t="s">
        <v>13</v>
      </c>
      <c r="E121" s="2" t="s">
        <v>34</v>
      </c>
      <c r="F121" s="2" t="s">
        <v>15</v>
      </c>
      <c r="G121" s="2" t="s">
        <v>42</v>
      </c>
      <c r="H121" s="2" t="s">
        <v>17</v>
      </c>
      <c r="I121" s="2" t="n">
        <v>19</v>
      </c>
      <c r="J121" s="2" t="n">
        <v>3800</v>
      </c>
      <c r="K121" s="2" t="n">
        <v>0.05</v>
      </c>
    </row>
    <row r="122" customFormat="false" ht="15" hidden="false" customHeight="false" outlineLevel="0" collapsed="false">
      <c r="A122" s="2" t="s">
        <v>177</v>
      </c>
      <c r="B122" s="3" t="n">
        <v>45954</v>
      </c>
      <c r="C122" s="2" t="s">
        <v>19</v>
      </c>
      <c r="D122" s="2" t="s">
        <v>70</v>
      </c>
      <c r="E122" s="2" t="s">
        <v>26</v>
      </c>
      <c r="F122" s="2" t="s">
        <v>22</v>
      </c>
      <c r="G122" s="2" t="s">
        <v>47</v>
      </c>
      <c r="H122" s="2" t="s">
        <v>24</v>
      </c>
      <c r="I122" s="2" t="n">
        <v>2</v>
      </c>
      <c r="J122" s="2" t="n">
        <v>120</v>
      </c>
      <c r="K122" s="2" t="n">
        <v>0</v>
      </c>
    </row>
    <row r="123" customFormat="false" ht="15" hidden="false" customHeight="false" outlineLevel="0" collapsed="false">
      <c r="A123" s="2" t="s">
        <v>178</v>
      </c>
      <c r="B123" s="3" t="n">
        <v>45959</v>
      </c>
      <c r="C123" s="2" t="s">
        <v>19</v>
      </c>
      <c r="D123" s="2" t="s">
        <v>20</v>
      </c>
      <c r="E123" s="2" t="s">
        <v>21</v>
      </c>
      <c r="F123" s="2" t="s">
        <v>56</v>
      </c>
      <c r="G123" s="2" t="s">
        <v>57</v>
      </c>
      <c r="H123" s="2" t="s">
        <v>17</v>
      </c>
      <c r="I123" s="2" t="n">
        <v>15</v>
      </c>
      <c r="J123" s="2" t="n">
        <v>2600</v>
      </c>
      <c r="K123" s="2" t="n">
        <v>0</v>
      </c>
    </row>
    <row r="124" customFormat="false" ht="15" hidden="false" customHeight="false" outlineLevel="0" collapsed="false">
      <c r="A124" s="2" t="s">
        <v>179</v>
      </c>
      <c r="B124" s="3" t="n">
        <v>45963</v>
      </c>
      <c r="C124" s="2" t="s">
        <v>19</v>
      </c>
      <c r="D124" s="2" t="s">
        <v>20</v>
      </c>
      <c r="E124" s="2" t="s">
        <v>65</v>
      </c>
      <c r="F124" s="2" t="s">
        <v>15</v>
      </c>
      <c r="G124" s="2" t="s">
        <v>42</v>
      </c>
      <c r="H124" s="2" t="s">
        <v>27</v>
      </c>
      <c r="I124" s="2" t="n">
        <v>14</v>
      </c>
      <c r="J124" s="2" t="n">
        <v>3800</v>
      </c>
      <c r="K124" s="2" t="n">
        <v>0.05</v>
      </c>
    </row>
    <row r="125" customFormat="false" ht="15" hidden="false" customHeight="false" outlineLevel="0" collapsed="false">
      <c r="A125" s="2" t="s">
        <v>180</v>
      </c>
      <c r="B125" s="3" t="n">
        <v>45963</v>
      </c>
      <c r="C125" s="2" t="s">
        <v>12</v>
      </c>
      <c r="D125" s="2" t="s">
        <v>13</v>
      </c>
      <c r="E125" s="2" t="s">
        <v>14</v>
      </c>
      <c r="F125" s="2" t="s">
        <v>22</v>
      </c>
      <c r="G125" s="2" t="s">
        <v>23</v>
      </c>
      <c r="H125" s="2" t="s">
        <v>27</v>
      </c>
      <c r="I125" s="2" t="n">
        <v>4</v>
      </c>
      <c r="J125" s="2" t="n">
        <v>240</v>
      </c>
      <c r="K125" s="2" t="n">
        <v>0</v>
      </c>
    </row>
    <row r="126" customFormat="false" ht="15" hidden="false" customHeight="false" outlineLevel="0" collapsed="false">
      <c r="A126" s="2" t="s">
        <v>181</v>
      </c>
      <c r="B126" s="3" t="n">
        <v>45970</v>
      </c>
      <c r="C126" s="2" t="s">
        <v>12</v>
      </c>
      <c r="D126" s="2" t="s">
        <v>81</v>
      </c>
      <c r="E126" s="2"/>
      <c r="F126" s="2" t="s">
        <v>30</v>
      </c>
      <c r="G126" s="2" t="s">
        <v>66</v>
      </c>
      <c r="H126" s="2" t="s">
        <v>27</v>
      </c>
      <c r="I126" s="2" t="n">
        <v>16</v>
      </c>
      <c r="J126" s="2" t="n">
        <v>1800</v>
      </c>
      <c r="K126" s="2" t="n">
        <v>0.05</v>
      </c>
    </row>
    <row r="127" customFormat="false" ht="15" hidden="false" customHeight="false" outlineLevel="0" collapsed="false">
      <c r="A127" s="2" t="s">
        <v>182</v>
      </c>
      <c r="B127" s="3" t="n">
        <v>45970</v>
      </c>
      <c r="C127" s="2" t="s">
        <v>61</v>
      </c>
      <c r="D127" s="2" t="s">
        <v>62</v>
      </c>
      <c r="E127" s="2" t="s">
        <v>14</v>
      </c>
      <c r="F127" s="2" t="s">
        <v>15</v>
      </c>
      <c r="G127" s="2" t="s">
        <v>16</v>
      </c>
      <c r="H127" s="2" t="s">
        <v>27</v>
      </c>
      <c r="I127" s="2" t="n">
        <v>19</v>
      </c>
      <c r="J127" s="2" t="n">
        <v>6500</v>
      </c>
      <c r="K127" s="2" t="n">
        <v>0</v>
      </c>
    </row>
    <row r="128" customFormat="false" ht="15" hidden="false" customHeight="false" outlineLevel="0" collapsed="false">
      <c r="A128" s="2" t="s">
        <v>183</v>
      </c>
      <c r="B128" s="3" t="n">
        <v>45976</v>
      </c>
      <c r="C128" s="2" t="s">
        <v>40</v>
      </c>
      <c r="D128" s="2" t="s">
        <v>41</v>
      </c>
      <c r="E128" s="2" t="s">
        <v>44</v>
      </c>
      <c r="F128" s="2" t="s">
        <v>15</v>
      </c>
      <c r="G128" s="2" t="s">
        <v>16</v>
      </c>
      <c r="H128" s="2" t="s">
        <v>27</v>
      </c>
      <c r="I128" s="2" t="n">
        <v>5</v>
      </c>
      <c r="J128" s="2" t="n">
        <v>6500</v>
      </c>
      <c r="K128" s="2" t="n">
        <v>0.1</v>
      </c>
    </row>
    <row r="129" customFormat="false" ht="15" hidden="false" customHeight="false" outlineLevel="0" collapsed="false">
      <c r="A129" s="2" t="s">
        <v>184</v>
      </c>
      <c r="B129" s="3" t="n">
        <v>45978</v>
      </c>
      <c r="C129" s="2" t="s">
        <v>61</v>
      </c>
      <c r="D129" s="2" t="s">
        <v>78</v>
      </c>
      <c r="E129" s="2" t="s">
        <v>21</v>
      </c>
      <c r="F129" s="2" t="s">
        <v>15</v>
      </c>
      <c r="G129" s="2" t="s">
        <v>42</v>
      </c>
      <c r="H129" s="2" t="s">
        <v>24</v>
      </c>
      <c r="I129" s="2" t="n">
        <v>4</v>
      </c>
      <c r="J129" s="2" t="n">
        <v>3800</v>
      </c>
      <c r="K129" s="2" t="n">
        <v>0.1</v>
      </c>
    </row>
    <row r="130" customFormat="false" ht="15" hidden="false" customHeight="false" outlineLevel="0" collapsed="false">
      <c r="A130" s="2" t="s">
        <v>185</v>
      </c>
      <c r="B130" s="3" t="n">
        <v>45982</v>
      </c>
      <c r="C130" s="2" t="s">
        <v>12</v>
      </c>
      <c r="D130" s="2" t="s">
        <v>81</v>
      </c>
      <c r="E130" s="2" t="s">
        <v>26</v>
      </c>
      <c r="F130" s="2" t="s">
        <v>15</v>
      </c>
      <c r="G130" s="2" t="s">
        <v>16</v>
      </c>
      <c r="H130" s="2" t="s">
        <v>27</v>
      </c>
      <c r="I130" s="2" t="n">
        <v>20</v>
      </c>
      <c r="J130" s="2" t="n">
        <v>6500</v>
      </c>
      <c r="K130" s="2" t="n">
        <v>0.1</v>
      </c>
    </row>
    <row r="131" customFormat="false" ht="15" hidden="false" customHeight="false" outlineLevel="0" collapsed="false">
      <c r="A131" s="2" t="s">
        <v>186</v>
      </c>
      <c r="B131" s="3" t="n">
        <v>45983</v>
      </c>
      <c r="C131" s="2" t="s">
        <v>40</v>
      </c>
      <c r="D131" s="2" t="s">
        <v>90</v>
      </c>
      <c r="E131" s="2" t="s">
        <v>34</v>
      </c>
      <c r="F131" s="2" t="s">
        <v>15</v>
      </c>
      <c r="G131" s="2" t="s">
        <v>42</v>
      </c>
      <c r="H131" s="2" t="s">
        <v>17</v>
      </c>
      <c r="I131" s="2" t="n">
        <v>14</v>
      </c>
      <c r="J131" s="2" t="n">
        <v>3800</v>
      </c>
      <c r="K131" s="2" t="n">
        <v>0.05</v>
      </c>
    </row>
    <row r="132" customFormat="false" ht="15" hidden="false" customHeight="false" outlineLevel="0" collapsed="false">
      <c r="A132" s="2" t="s">
        <v>187</v>
      </c>
      <c r="B132" s="3" t="n">
        <v>45983</v>
      </c>
      <c r="C132" s="2" t="s">
        <v>61</v>
      </c>
      <c r="D132" s="2" t="s">
        <v>78</v>
      </c>
      <c r="E132" s="2" t="s">
        <v>34</v>
      </c>
      <c r="F132" s="2" t="s">
        <v>15</v>
      </c>
      <c r="G132" s="2" t="s">
        <v>42</v>
      </c>
      <c r="H132" s="2" t="s">
        <v>24</v>
      </c>
      <c r="I132" s="2" t="n">
        <v>3</v>
      </c>
      <c r="J132" s="2" t="n">
        <v>3800</v>
      </c>
      <c r="K132" s="2" t="n">
        <v>0</v>
      </c>
    </row>
    <row r="133" customFormat="false" ht="15" hidden="false" customHeight="false" outlineLevel="0" collapsed="false">
      <c r="A133" s="2" t="s">
        <v>188</v>
      </c>
      <c r="B133" s="3" t="n">
        <v>45987</v>
      </c>
      <c r="C133" s="2" t="s">
        <v>12</v>
      </c>
      <c r="D133" s="2" t="s">
        <v>13</v>
      </c>
      <c r="E133" s="2" t="s">
        <v>44</v>
      </c>
      <c r="F133" s="2" t="s">
        <v>30</v>
      </c>
      <c r="G133" s="2" t="s">
        <v>31</v>
      </c>
      <c r="H133" s="2" t="s">
        <v>17</v>
      </c>
      <c r="I133" s="2" t="n">
        <v>15</v>
      </c>
      <c r="J133" s="2" t="n">
        <v>11999</v>
      </c>
      <c r="K133" s="2" t="n">
        <v>0.05</v>
      </c>
    </row>
    <row r="134" customFormat="false" ht="15" hidden="false" customHeight="false" outlineLevel="0" collapsed="false">
      <c r="A134" s="2" t="s">
        <v>189</v>
      </c>
      <c r="B134" s="3" t="n">
        <v>45991</v>
      </c>
      <c r="C134" s="2" t="s">
        <v>12</v>
      </c>
      <c r="D134" s="2" t="s">
        <v>51</v>
      </c>
      <c r="E134" s="2" t="s">
        <v>21</v>
      </c>
      <c r="F134" s="2" t="s">
        <v>15</v>
      </c>
      <c r="G134" s="2" t="s">
        <v>42</v>
      </c>
      <c r="H134" s="2" t="s">
        <v>24</v>
      </c>
      <c r="I134" s="2" t="n">
        <v>17</v>
      </c>
      <c r="J134" s="2" t="n">
        <v>3800</v>
      </c>
      <c r="K134" s="2" t="n">
        <v>0.1</v>
      </c>
    </row>
    <row r="135" customFormat="false" ht="15" hidden="false" customHeight="false" outlineLevel="0" collapsed="false">
      <c r="A135" s="2" t="s">
        <v>190</v>
      </c>
      <c r="B135" s="3" t="n">
        <v>45994</v>
      </c>
      <c r="C135" s="2" t="s">
        <v>61</v>
      </c>
      <c r="D135" s="2" t="s">
        <v>38</v>
      </c>
      <c r="E135" s="2" t="s">
        <v>34</v>
      </c>
      <c r="F135" s="2" t="s">
        <v>56</v>
      </c>
      <c r="G135" s="2" t="s">
        <v>79</v>
      </c>
      <c r="H135" s="2" t="s">
        <v>27</v>
      </c>
      <c r="I135" s="2" t="n">
        <v>1</v>
      </c>
      <c r="J135" s="2" t="n">
        <v>8900</v>
      </c>
      <c r="K135" s="2" t="n">
        <v>0</v>
      </c>
    </row>
    <row r="136" customFormat="false" ht="15" hidden="false" customHeight="false" outlineLevel="0" collapsed="false">
      <c r="A136" s="2" t="s">
        <v>191</v>
      </c>
      <c r="B136" s="3" t="n">
        <v>45996</v>
      </c>
      <c r="C136" s="2" t="s">
        <v>19</v>
      </c>
      <c r="D136" s="2" t="s">
        <v>70</v>
      </c>
      <c r="E136" s="2" t="s">
        <v>26</v>
      </c>
      <c r="F136" s="2" t="s">
        <v>22</v>
      </c>
      <c r="G136" s="2" t="s">
        <v>35</v>
      </c>
      <c r="H136" s="2" t="s">
        <v>17</v>
      </c>
      <c r="I136" s="2" t="n">
        <v>14</v>
      </c>
      <c r="J136" s="2" t="n">
        <v>320</v>
      </c>
      <c r="K136" s="2" t="n">
        <v>0.1</v>
      </c>
    </row>
    <row r="137" customFormat="false" ht="15" hidden="false" customHeight="false" outlineLevel="0" collapsed="false">
      <c r="A137" s="2" t="s">
        <v>192</v>
      </c>
      <c r="B137" s="3" t="n">
        <v>45996</v>
      </c>
      <c r="C137" s="2" t="s">
        <v>19</v>
      </c>
      <c r="D137" s="2" t="s">
        <v>20</v>
      </c>
      <c r="E137" s="2" t="s">
        <v>53</v>
      </c>
      <c r="F137" s="2" t="s">
        <v>22</v>
      </c>
      <c r="G137" s="2" t="s">
        <v>35</v>
      </c>
      <c r="H137" s="2" t="s">
        <v>27</v>
      </c>
      <c r="I137" s="2" t="n">
        <v>19</v>
      </c>
      <c r="J137" s="2" t="n">
        <v>320</v>
      </c>
      <c r="K137" s="2" t="n">
        <v>0</v>
      </c>
    </row>
    <row r="138" customFormat="false" ht="15" hidden="false" customHeight="false" outlineLevel="0" collapsed="false">
      <c r="A138" s="2" t="s">
        <v>193</v>
      </c>
      <c r="B138" s="3" t="n">
        <v>45996</v>
      </c>
      <c r="C138" s="2" t="s">
        <v>12</v>
      </c>
      <c r="D138" s="2" t="s">
        <v>13</v>
      </c>
      <c r="E138" s="2" t="s">
        <v>44</v>
      </c>
      <c r="F138" s="2" t="s">
        <v>22</v>
      </c>
      <c r="G138" s="2" t="s">
        <v>23</v>
      </c>
      <c r="H138" s="2" t="s">
        <v>17</v>
      </c>
      <c r="I138" s="2" t="n">
        <v>4</v>
      </c>
      <c r="J138" s="2" t="n">
        <v>240</v>
      </c>
      <c r="K138" s="2" t="n">
        <v>0</v>
      </c>
    </row>
    <row r="139" customFormat="false" ht="15" hidden="false" customHeight="false" outlineLevel="0" collapsed="false">
      <c r="A139" s="2" t="s">
        <v>194</v>
      </c>
      <c r="B139" s="3" t="n">
        <v>45998</v>
      </c>
      <c r="C139" s="2" t="s">
        <v>19</v>
      </c>
      <c r="D139" s="2" t="s">
        <v>20</v>
      </c>
      <c r="E139" s="2" t="s">
        <v>26</v>
      </c>
      <c r="F139" s="2" t="s">
        <v>22</v>
      </c>
      <c r="G139" s="2" t="s">
        <v>47</v>
      </c>
      <c r="H139" s="2" t="s">
        <v>24</v>
      </c>
      <c r="I139" s="2" t="n">
        <v>3</v>
      </c>
      <c r="J139" s="2" t="n">
        <v>120</v>
      </c>
      <c r="K139" s="2" t="n">
        <v>0</v>
      </c>
    </row>
    <row r="140" customFormat="false" ht="15" hidden="false" customHeight="false" outlineLevel="0" collapsed="false">
      <c r="A140" s="2" t="s">
        <v>195</v>
      </c>
      <c r="B140" s="3" t="n">
        <v>45999</v>
      </c>
      <c r="C140" s="2" t="s">
        <v>12</v>
      </c>
      <c r="D140" s="2" t="s">
        <v>81</v>
      </c>
      <c r="E140" s="2" t="s">
        <v>26</v>
      </c>
      <c r="F140" s="2" t="s">
        <v>56</v>
      </c>
      <c r="G140" s="2" t="s">
        <v>57</v>
      </c>
      <c r="H140" s="2" t="s">
        <v>27</v>
      </c>
      <c r="I140" s="2" t="n">
        <v>15</v>
      </c>
      <c r="J140" s="2" t="n">
        <v>2600</v>
      </c>
      <c r="K140" s="2" t="n">
        <v>0.1</v>
      </c>
    </row>
    <row r="141" customFormat="false" ht="15" hidden="false" customHeight="false" outlineLevel="0" collapsed="false">
      <c r="A141" s="2" t="s">
        <v>196</v>
      </c>
      <c r="B141" s="3" t="n">
        <v>46000</v>
      </c>
      <c r="C141" s="2" t="s">
        <v>40</v>
      </c>
      <c r="D141" s="2" t="s">
        <v>41</v>
      </c>
      <c r="E141" s="2" t="s">
        <v>26</v>
      </c>
      <c r="F141" s="2" t="s">
        <v>22</v>
      </c>
      <c r="G141" s="2" t="s">
        <v>47</v>
      </c>
      <c r="H141" s="2" t="s">
        <v>17</v>
      </c>
      <c r="I141" s="2" t="n">
        <v>7</v>
      </c>
      <c r="J141" s="2" t="n">
        <v>120</v>
      </c>
      <c r="K141" s="2" t="n">
        <v>0</v>
      </c>
    </row>
    <row r="142" customFormat="false" ht="15" hidden="false" customHeight="false" outlineLevel="0" collapsed="false">
      <c r="A142" s="2" t="s">
        <v>197</v>
      </c>
      <c r="B142" s="3" t="n">
        <v>46001</v>
      </c>
      <c r="C142" s="2" t="s">
        <v>61</v>
      </c>
      <c r="D142" s="2" t="s">
        <v>38</v>
      </c>
      <c r="E142" s="2" t="s">
        <v>21</v>
      </c>
      <c r="F142" s="2" t="s">
        <v>22</v>
      </c>
      <c r="G142" s="2" t="s">
        <v>47</v>
      </c>
      <c r="H142" s="2" t="s">
        <v>24</v>
      </c>
      <c r="I142" s="2" t="n">
        <v>7</v>
      </c>
      <c r="J142" s="2" t="n">
        <v>120</v>
      </c>
      <c r="K142" s="2" t="n">
        <v>0</v>
      </c>
    </row>
    <row r="143" customFormat="false" ht="15" hidden="false" customHeight="false" outlineLevel="0" collapsed="false">
      <c r="A143" s="2" t="s">
        <v>198</v>
      </c>
      <c r="B143" s="3" t="n">
        <v>46004</v>
      </c>
      <c r="C143" s="2" t="s">
        <v>12</v>
      </c>
      <c r="D143" s="2" t="s">
        <v>81</v>
      </c>
      <c r="E143" s="2" t="s">
        <v>29</v>
      </c>
      <c r="F143" s="2" t="s">
        <v>56</v>
      </c>
      <c r="G143" s="2" t="s">
        <v>79</v>
      </c>
      <c r="H143" s="2" t="s">
        <v>24</v>
      </c>
      <c r="I143" s="2" t="n">
        <v>13</v>
      </c>
      <c r="J143" s="2" t="n">
        <v>8900</v>
      </c>
      <c r="K143" s="2" t="n">
        <v>0.1</v>
      </c>
    </row>
    <row r="144" customFormat="false" ht="15" hidden="false" customHeight="false" outlineLevel="0" collapsed="false">
      <c r="A144" s="2" t="s">
        <v>199</v>
      </c>
      <c r="B144" s="3" t="n">
        <v>46004</v>
      </c>
      <c r="C144" s="2" t="s">
        <v>40</v>
      </c>
      <c r="D144" s="2" t="s">
        <v>90</v>
      </c>
      <c r="E144" s="2" t="s">
        <v>29</v>
      </c>
      <c r="F144" s="2" t="s">
        <v>30</v>
      </c>
      <c r="G144" s="2" t="s">
        <v>86</v>
      </c>
      <c r="H144" s="2" t="s">
        <v>17</v>
      </c>
      <c r="I144" s="2" t="n">
        <v>10</v>
      </c>
      <c r="J144" s="2" t="n">
        <v>42500</v>
      </c>
      <c r="K144" s="2" t="n">
        <v>0.05</v>
      </c>
    </row>
    <row r="145" customFormat="false" ht="15" hidden="false" customHeight="false" outlineLevel="0" collapsed="false">
      <c r="A145" s="2" t="s">
        <v>200</v>
      </c>
      <c r="B145" s="3" t="n">
        <v>46006</v>
      </c>
      <c r="C145" s="2" t="s">
        <v>40</v>
      </c>
      <c r="D145" s="2" t="s">
        <v>41</v>
      </c>
      <c r="E145" s="2" t="s">
        <v>65</v>
      </c>
      <c r="F145" s="2" t="s">
        <v>22</v>
      </c>
      <c r="G145" s="2" t="s">
        <v>35</v>
      </c>
      <c r="H145" s="2" t="s">
        <v>24</v>
      </c>
      <c r="I145" s="2" t="n">
        <v>1</v>
      </c>
      <c r="J145" s="2" t="n">
        <v>320</v>
      </c>
      <c r="K145" s="2" t="n">
        <v>0.1</v>
      </c>
    </row>
    <row r="146" customFormat="false" ht="15" hidden="false" customHeight="false" outlineLevel="0" collapsed="false">
      <c r="A146" s="2" t="s">
        <v>201</v>
      </c>
      <c r="B146" s="3" t="n">
        <v>46009</v>
      </c>
      <c r="C146" s="2" t="s">
        <v>61</v>
      </c>
      <c r="D146" s="2" t="s">
        <v>78</v>
      </c>
      <c r="E146" s="2" t="s">
        <v>34</v>
      </c>
      <c r="F146" s="2" t="s">
        <v>22</v>
      </c>
      <c r="G146" s="2" t="s">
        <v>47</v>
      </c>
      <c r="H146" s="2" t="s">
        <v>17</v>
      </c>
      <c r="I146" s="2" t="n">
        <v>5</v>
      </c>
      <c r="J146" s="2" t="n">
        <v>120</v>
      </c>
      <c r="K146" s="2" t="n">
        <v>0</v>
      </c>
    </row>
    <row r="147" customFormat="false" ht="15" hidden="false" customHeight="false" outlineLevel="0" collapsed="false">
      <c r="A147" s="2" t="s">
        <v>202</v>
      </c>
      <c r="B147" s="3" t="n">
        <v>46011</v>
      </c>
      <c r="C147" s="2" t="s">
        <v>12</v>
      </c>
      <c r="D147" s="2" t="s">
        <v>51</v>
      </c>
      <c r="E147" s="2" t="s">
        <v>53</v>
      </c>
      <c r="F147" s="2" t="s">
        <v>56</v>
      </c>
      <c r="G147" s="2" t="s">
        <v>57</v>
      </c>
      <c r="H147" s="2" t="s">
        <v>24</v>
      </c>
      <c r="I147" s="2" t="n">
        <v>18</v>
      </c>
      <c r="J147" s="2" t="n">
        <v>2600</v>
      </c>
      <c r="K147" s="2" t="n">
        <v>0</v>
      </c>
    </row>
    <row r="148" customFormat="false" ht="15" hidden="false" customHeight="false" outlineLevel="0" collapsed="false">
      <c r="A148" s="2" t="s">
        <v>203</v>
      </c>
      <c r="B148" s="3" t="n">
        <v>46011</v>
      </c>
      <c r="C148" s="2" t="s">
        <v>40</v>
      </c>
      <c r="D148" s="2" t="s">
        <v>41</v>
      </c>
      <c r="E148" s="2" t="s">
        <v>53</v>
      </c>
      <c r="F148" s="2" t="s">
        <v>15</v>
      </c>
      <c r="G148" s="2" t="s">
        <v>49</v>
      </c>
      <c r="H148" s="2" t="s">
        <v>17</v>
      </c>
      <c r="I148" s="2" t="n">
        <v>19</v>
      </c>
      <c r="J148" s="2" t="n">
        <v>4200</v>
      </c>
      <c r="K148" s="2" t="n">
        <v>0</v>
      </c>
    </row>
    <row r="149" customFormat="false" ht="15" hidden="false" customHeight="false" outlineLevel="0" collapsed="false">
      <c r="A149" s="2" t="s">
        <v>204</v>
      </c>
      <c r="B149" s="3" t="n">
        <v>46011</v>
      </c>
      <c r="C149" s="2" t="s">
        <v>61</v>
      </c>
      <c r="D149" s="2" t="s">
        <v>78</v>
      </c>
      <c r="E149" s="2" t="s">
        <v>21</v>
      </c>
      <c r="F149" s="2" t="s">
        <v>22</v>
      </c>
      <c r="G149" s="2" t="s">
        <v>35</v>
      </c>
      <c r="H149" s="2" t="s">
        <v>27</v>
      </c>
      <c r="I149" s="2" t="n">
        <v>14</v>
      </c>
      <c r="J149" s="2" t="n">
        <v>320</v>
      </c>
      <c r="K149" s="2" t="n">
        <v>0</v>
      </c>
    </row>
    <row r="150" customFormat="false" ht="15" hidden="false" customHeight="false" outlineLevel="0" collapsed="false">
      <c r="A150" s="2" t="s">
        <v>203</v>
      </c>
      <c r="B150" s="3" t="n">
        <v>46011</v>
      </c>
      <c r="C150" s="2" t="s">
        <v>40</v>
      </c>
      <c r="D150" s="2" t="s">
        <v>41</v>
      </c>
      <c r="E150" s="2" t="s">
        <v>53</v>
      </c>
      <c r="F150" s="2" t="s">
        <v>15</v>
      </c>
      <c r="G150" s="2" t="s">
        <v>49</v>
      </c>
      <c r="H150" s="2" t="s">
        <v>17</v>
      </c>
      <c r="I150" s="2" t="n">
        <v>19</v>
      </c>
      <c r="J150" s="2" t="n">
        <v>4200</v>
      </c>
      <c r="K150" s="2" t="n">
        <v>0</v>
      </c>
    </row>
    <row r="151" customFormat="false" ht="15" hidden="false" customHeight="false" outlineLevel="0" collapsed="false">
      <c r="A151" s="2" t="s">
        <v>205</v>
      </c>
      <c r="B151" s="3" t="n">
        <v>46015</v>
      </c>
      <c r="C151" s="2" t="s">
        <v>61</v>
      </c>
      <c r="D151" s="2" t="s">
        <v>78</v>
      </c>
      <c r="E151" s="2" t="s">
        <v>34</v>
      </c>
      <c r="F151" s="2" t="s">
        <v>15</v>
      </c>
      <c r="G151" s="2" t="s">
        <v>16</v>
      </c>
      <c r="H151" s="2" t="s">
        <v>17</v>
      </c>
      <c r="I151" s="2" t="n">
        <v>15</v>
      </c>
      <c r="J151" s="2" t="n">
        <v>6500</v>
      </c>
      <c r="K151" s="2" t="n">
        <v>0</v>
      </c>
    </row>
    <row r="152" customFormat="false" ht="15" hidden="false" customHeight="false" outlineLevel="0" collapsed="false">
      <c r="A152" s="2" t="s">
        <v>206</v>
      </c>
      <c r="B152" s="3" t="n">
        <v>46018</v>
      </c>
      <c r="C152" s="2" t="s">
        <v>61</v>
      </c>
      <c r="D152" s="2" t="s">
        <v>62</v>
      </c>
      <c r="E152" s="2" t="s">
        <v>21</v>
      </c>
      <c r="F152" s="2" t="s">
        <v>15</v>
      </c>
      <c r="G152" s="2" t="s">
        <v>16</v>
      </c>
      <c r="H152" s="2" t="s">
        <v>24</v>
      </c>
      <c r="I152" s="2" t="n">
        <v>18</v>
      </c>
      <c r="J152" s="2" t="n">
        <v>6500</v>
      </c>
      <c r="K152" s="2" t="n">
        <v>0.1</v>
      </c>
    </row>
    <row r="153" customFormat="false" ht="15" hidden="false" customHeight="false" outlineLevel="0" collapsed="false">
      <c r="A153" s="2" t="s">
        <v>207</v>
      </c>
      <c r="B153" s="3" t="n">
        <v>46019</v>
      </c>
      <c r="C153" s="2" t="s">
        <v>40</v>
      </c>
      <c r="D153" s="2" t="s">
        <v>90</v>
      </c>
      <c r="E153" s="2" t="s">
        <v>21</v>
      </c>
      <c r="F153" s="2" t="s">
        <v>30</v>
      </c>
      <c r="G153" s="2" t="s">
        <v>66</v>
      </c>
      <c r="H153" s="2" t="s">
        <v>24</v>
      </c>
      <c r="I153" s="2" t="n">
        <v>10</v>
      </c>
      <c r="J153" s="2" t="n">
        <v>1800</v>
      </c>
      <c r="K153" s="2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4" t="s">
        <v>208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1" t="s">
        <v>209</v>
      </c>
      <c r="B3" s="1" t="s">
        <v>210</v>
      </c>
    </row>
    <row r="4" customFormat="false" ht="15" hidden="false" customHeight="false" outlineLevel="0" collapsed="false">
      <c r="A4" s="2" t="n">
        <v>1</v>
      </c>
      <c r="B4" s="5" t="s">
        <v>211</v>
      </c>
    </row>
    <row r="5" customFormat="false" ht="15" hidden="false" customHeight="false" outlineLevel="0" collapsed="false">
      <c r="A5" s="2" t="n">
        <v>2</v>
      </c>
      <c r="B5" s="5" t="s">
        <v>212</v>
      </c>
    </row>
    <row r="6" customFormat="false" ht="15" hidden="false" customHeight="false" outlineLevel="0" collapsed="false">
      <c r="A6" s="2" t="n">
        <v>3</v>
      </c>
      <c r="B6" s="5" t="s">
        <v>213</v>
      </c>
    </row>
    <row r="7" customFormat="false" ht="15" hidden="false" customHeight="false" outlineLevel="0" collapsed="false">
      <c r="A7" s="2" t="n">
        <v>4</v>
      </c>
      <c r="B7" s="5" t="s">
        <v>214</v>
      </c>
    </row>
    <row r="8" customFormat="false" ht="15" hidden="false" customHeight="false" outlineLevel="0" collapsed="false">
      <c r="A8" s="2" t="n">
        <v>5</v>
      </c>
      <c r="B8" s="5" t="s">
        <v>215</v>
      </c>
    </row>
    <row r="9" customFormat="false" ht="15" hidden="false" customHeight="false" outlineLevel="0" collapsed="false">
      <c r="A9" s="2" t="n">
        <v>6</v>
      </c>
      <c r="B9" s="5" t="s">
        <v>216</v>
      </c>
    </row>
    <row r="10" customFormat="false" ht="15" hidden="false" customHeight="false" outlineLevel="0" collapsed="false">
      <c r="A10" s="2" t="n">
        <v>7</v>
      </c>
      <c r="B10" s="5" t="s">
        <v>217</v>
      </c>
    </row>
    <row r="11" customFormat="false" ht="15" hidden="false" customHeight="false" outlineLevel="0" collapsed="false">
      <c r="A11" s="2"/>
      <c r="B1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218</v>
      </c>
      <c r="M1" s="1" t="s">
        <v>219</v>
      </c>
      <c r="N1" s="1" t="s">
        <v>220</v>
      </c>
    </row>
    <row r="2" customFormat="false" ht="15" hidden="false" customHeight="false" outlineLevel="0" collapsed="false">
      <c r="A2" s="2" t="s">
        <v>11</v>
      </c>
      <c r="B2" s="6" t="n">
        <v>45665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n">
        <v>18</v>
      </c>
      <c r="J2" s="7" t="n">
        <v>6500</v>
      </c>
      <c r="K2" s="8" t="n">
        <v>0</v>
      </c>
      <c r="L2" s="7" t="n">
        <f aca="false">I2*J2*(1-K2)</f>
        <v>117000</v>
      </c>
      <c r="M2" s="2" t="str">
        <f aca="false">TEXT(B2,"mmm")</f>
        <v>Jan</v>
      </c>
      <c r="N2" s="2" t="n">
        <f aca="false">MONTH(B2)</f>
        <v>1</v>
      </c>
    </row>
    <row r="3" customFormat="false" ht="15" hidden="false" customHeight="false" outlineLevel="0" collapsed="false">
      <c r="A3" s="2" t="s">
        <v>18</v>
      </c>
      <c r="B3" s="6" t="n">
        <v>45671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n">
        <v>19</v>
      </c>
      <c r="J3" s="7" t="n">
        <v>240</v>
      </c>
      <c r="K3" s="8" t="n">
        <v>0.05</v>
      </c>
      <c r="L3" s="7" t="n">
        <f aca="false">I3*J3*(1-K3)</f>
        <v>4332</v>
      </c>
      <c r="M3" s="2" t="str">
        <f aca="false">TEXT(B3,"mmm")</f>
        <v>Jan</v>
      </c>
      <c r="N3" s="2" t="n">
        <f aca="false">MONTH(B3)</f>
        <v>1</v>
      </c>
    </row>
    <row r="4" customFormat="false" ht="15" hidden="false" customHeight="false" outlineLevel="0" collapsed="false">
      <c r="A4" s="2" t="s">
        <v>25</v>
      </c>
      <c r="B4" s="6" t="n">
        <v>45674</v>
      </c>
      <c r="C4" s="2" t="s">
        <v>12</v>
      </c>
      <c r="D4" s="2" t="s">
        <v>13</v>
      </c>
      <c r="E4" s="2" t="s">
        <v>26</v>
      </c>
      <c r="F4" s="2" t="s">
        <v>22</v>
      </c>
      <c r="G4" s="2" t="s">
        <v>23</v>
      </c>
      <c r="H4" s="2" t="s">
        <v>27</v>
      </c>
      <c r="I4" s="2" t="n">
        <v>8</v>
      </c>
      <c r="J4" s="7" t="n">
        <v>240</v>
      </c>
      <c r="K4" s="8" t="n">
        <v>0</v>
      </c>
      <c r="L4" s="7" t="n">
        <f aca="false">I4*J4*(1-K4)</f>
        <v>1920</v>
      </c>
      <c r="M4" s="2" t="str">
        <f aca="false">TEXT(B4,"mmm")</f>
        <v>Jan</v>
      </c>
      <c r="N4" s="2" t="n">
        <f aca="false">MONTH(B4)</f>
        <v>1</v>
      </c>
    </row>
    <row r="5" customFormat="false" ht="15" hidden="false" customHeight="false" outlineLevel="0" collapsed="false">
      <c r="A5" s="2" t="s">
        <v>28</v>
      </c>
      <c r="B5" s="6" t="n">
        <v>45678</v>
      </c>
      <c r="C5" s="2" t="s">
        <v>12</v>
      </c>
      <c r="D5" s="2" t="s">
        <v>13</v>
      </c>
      <c r="E5" s="2" t="s">
        <v>29</v>
      </c>
      <c r="F5" s="2" t="s">
        <v>30</v>
      </c>
      <c r="G5" s="2" t="s">
        <v>31</v>
      </c>
      <c r="H5" s="2" t="s">
        <v>27</v>
      </c>
      <c r="I5" s="2" t="n">
        <v>19</v>
      </c>
      <c r="J5" s="7" t="n">
        <v>11999</v>
      </c>
      <c r="K5" s="8" t="n">
        <v>0.1</v>
      </c>
      <c r="L5" s="7" t="n">
        <f aca="false">I5*J5*(1-K5)</f>
        <v>205182.9</v>
      </c>
      <c r="M5" s="2" t="str">
        <f aca="false">TEXT(B5,"mmm")</f>
        <v>Jan</v>
      </c>
      <c r="N5" s="2" t="n">
        <f aca="false">MONTH(B5)</f>
        <v>1</v>
      </c>
    </row>
    <row r="6" customFormat="false" ht="15" hidden="false" customHeight="false" outlineLevel="0" collapsed="false">
      <c r="A6" s="2" t="s">
        <v>32</v>
      </c>
      <c r="B6" s="6" t="n">
        <v>45680</v>
      </c>
      <c r="C6" s="2" t="s">
        <v>19</v>
      </c>
      <c r="D6" s="2" t="s">
        <v>33</v>
      </c>
      <c r="E6" s="2" t="s">
        <v>34</v>
      </c>
      <c r="F6" s="2" t="s">
        <v>22</v>
      </c>
      <c r="G6" s="2" t="s">
        <v>35</v>
      </c>
      <c r="H6" s="2" t="s">
        <v>24</v>
      </c>
      <c r="I6" s="2" t="n">
        <v>9</v>
      </c>
      <c r="J6" s="7" t="n">
        <v>320</v>
      </c>
      <c r="K6" s="8" t="n">
        <v>0</v>
      </c>
      <c r="L6" s="7" t="n">
        <f aca="false">I6*J6*(1-K6)</f>
        <v>2880</v>
      </c>
      <c r="M6" s="2" t="str">
        <f aca="false">TEXT(B6,"mmm")</f>
        <v>Jan</v>
      </c>
      <c r="N6" s="2" t="n">
        <f aca="false">MONTH(B6)</f>
        <v>1</v>
      </c>
    </row>
    <row r="7" customFormat="false" ht="15" hidden="false" customHeight="false" outlineLevel="0" collapsed="false">
      <c r="A7" s="2" t="s">
        <v>36</v>
      </c>
      <c r="B7" s="6" t="n">
        <v>45685</v>
      </c>
      <c r="C7" s="2" t="s">
        <v>19</v>
      </c>
      <c r="D7" s="2" t="s">
        <v>38</v>
      </c>
      <c r="E7" s="2" t="s">
        <v>21</v>
      </c>
      <c r="F7" s="2" t="s">
        <v>15</v>
      </c>
      <c r="G7" s="2" t="s">
        <v>16</v>
      </c>
      <c r="H7" s="2" t="s">
        <v>24</v>
      </c>
      <c r="I7" s="2" t="n">
        <v>2</v>
      </c>
      <c r="J7" s="7" t="n">
        <v>6500</v>
      </c>
      <c r="K7" s="8" t="n">
        <v>0</v>
      </c>
      <c r="L7" s="7" t="n">
        <f aca="false">I7*J7*(1-K7)</f>
        <v>13000</v>
      </c>
      <c r="M7" s="2" t="str">
        <f aca="false">TEXT(B7,"mmm")</f>
        <v>Jan</v>
      </c>
      <c r="N7" s="2" t="n">
        <f aca="false">MONTH(B7)</f>
        <v>1</v>
      </c>
    </row>
    <row r="8" customFormat="false" ht="15" hidden="false" customHeight="false" outlineLevel="0" collapsed="false">
      <c r="A8" s="2" t="s">
        <v>39</v>
      </c>
      <c r="B8" s="6" t="n">
        <v>45690</v>
      </c>
      <c r="C8" s="2" t="s">
        <v>40</v>
      </c>
      <c r="D8" s="2" t="s">
        <v>41</v>
      </c>
      <c r="E8" s="2" t="s">
        <v>14</v>
      </c>
      <c r="F8" s="2" t="s">
        <v>15</v>
      </c>
      <c r="G8" s="2" t="s">
        <v>42</v>
      </c>
      <c r="H8" s="2" t="s">
        <v>27</v>
      </c>
      <c r="I8" s="2" t="n">
        <v>7</v>
      </c>
      <c r="J8" s="7" t="n">
        <v>3800</v>
      </c>
      <c r="K8" s="8" t="n">
        <v>0</v>
      </c>
      <c r="L8" s="7" t="n">
        <f aca="false">I8*J8*(1-K8)</f>
        <v>26600</v>
      </c>
      <c r="M8" s="2" t="str">
        <f aca="false">TEXT(B8,"mmm")</f>
        <v>Feb</v>
      </c>
      <c r="N8" s="2" t="n">
        <f aca="false">MONTH(B8)</f>
        <v>2</v>
      </c>
    </row>
    <row r="9" customFormat="false" ht="15" hidden="false" customHeight="false" outlineLevel="0" collapsed="false">
      <c r="A9" s="2" t="s">
        <v>43</v>
      </c>
      <c r="B9" s="6" t="n">
        <v>45694</v>
      </c>
      <c r="C9" s="2" t="s">
        <v>12</v>
      </c>
      <c r="D9" s="2" t="s">
        <v>13</v>
      </c>
      <c r="E9" s="2" t="s">
        <v>44</v>
      </c>
      <c r="F9" s="2" t="s">
        <v>15</v>
      </c>
      <c r="G9" s="2" t="s">
        <v>16</v>
      </c>
      <c r="H9" s="2" t="s">
        <v>17</v>
      </c>
      <c r="I9" s="2" t="n">
        <v>5</v>
      </c>
      <c r="J9" s="7" t="n">
        <v>6500</v>
      </c>
      <c r="K9" s="8" t="n">
        <v>0</v>
      </c>
      <c r="L9" s="7" t="n">
        <f aca="false">I9*J9*(1-K9)</f>
        <v>32500</v>
      </c>
      <c r="M9" s="2" t="str">
        <f aca="false">TEXT(B9,"mmm")</f>
        <v>Feb</v>
      </c>
      <c r="N9" s="2" t="n">
        <f aca="false">MONTH(B9)</f>
        <v>2</v>
      </c>
    </row>
    <row r="10" customFormat="false" ht="15" hidden="false" customHeight="false" outlineLevel="0" collapsed="false">
      <c r="A10" s="2" t="s">
        <v>45</v>
      </c>
      <c r="B10" s="6" t="n">
        <v>45695</v>
      </c>
      <c r="C10" s="2" t="s">
        <v>40</v>
      </c>
      <c r="D10" s="2" t="s">
        <v>46</v>
      </c>
      <c r="E10" s="2" t="s">
        <v>44</v>
      </c>
      <c r="F10" s="2" t="s">
        <v>22</v>
      </c>
      <c r="G10" s="2" t="s">
        <v>47</v>
      </c>
      <c r="H10" s="2" t="s">
        <v>27</v>
      </c>
      <c r="I10" s="2" t="n">
        <v>11</v>
      </c>
      <c r="J10" s="7" t="n">
        <v>120</v>
      </c>
      <c r="K10" s="8" t="n">
        <v>0.1</v>
      </c>
      <c r="L10" s="7" t="n">
        <f aca="false">I10*J10*(1-K10)</f>
        <v>1188</v>
      </c>
      <c r="M10" s="2" t="str">
        <f aca="false">TEXT(B10,"mmm")</f>
        <v>Feb</v>
      </c>
      <c r="N10" s="2" t="n">
        <f aca="false">MONTH(B10)</f>
        <v>2</v>
      </c>
    </row>
    <row r="11" customFormat="false" ht="15" hidden="false" customHeight="false" outlineLevel="0" collapsed="false">
      <c r="A11" s="2" t="s">
        <v>48</v>
      </c>
      <c r="B11" s="6" t="n">
        <v>45699</v>
      </c>
      <c r="C11" s="2" t="s">
        <v>40</v>
      </c>
      <c r="D11" s="2" t="s">
        <v>41</v>
      </c>
      <c r="E11" s="2" t="s">
        <v>29</v>
      </c>
      <c r="F11" s="2" t="s">
        <v>15</v>
      </c>
      <c r="G11" s="2" t="s">
        <v>49</v>
      </c>
      <c r="H11" s="2" t="s">
        <v>17</v>
      </c>
      <c r="I11" s="2" t="n">
        <v>17</v>
      </c>
      <c r="J11" s="7" t="n">
        <v>4200</v>
      </c>
      <c r="K11" s="8" t="n">
        <v>0.1</v>
      </c>
      <c r="L11" s="7" t="n">
        <f aca="false">I11*J11*(1-K11)</f>
        <v>64260</v>
      </c>
      <c r="M11" s="2" t="str">
        <f aca="false">TEXT(B11,"mmm")</f>
        <v>Feb</v>
      </c>
      <c r="N11" s="2" t="n">
        <f aca="false">MONTH(B11)</f>
        <v>2</v>
      </c>
    </row>
    <row r="12" customFormat="false" ht="15" hidden="false" customHeight="false" outlineLevel="0" collapsed="false">
      <c r="A12" s="2" t="s">
        <v>50</v>
      </c>
      <c r="B12" s="6" t="n">
        <v>45699</v>
      </c>
      <c r="C12" s="2" t="s">
        <v>12</v>
      </c>
      <c r="D12" s="2" t="s">
        <v>51</v>
      </c>
      <c r="E12" s="2" t="s">
        <v>29</v>
      </c>
      <c r="F12" s="2" t="s">
        <v>22</v>
      </c>
      <c r="G12" s="2" t="s">
        <v>47</v>
      </c>
      <c r="H12" s="2" t="s">
        <v>17</v>
      </c>
      <c r="I12" s="2" t="n">
        <v>18</v>
      </c>
      <c r="J12" s="7" t="n">
        <v>120</v>
      </c>
      <c r="K12" s="8" t="n">
        <v>0</v>
      </c>
      <c r="L12" s="7" t="n">
        <f aca="false">I12*J12*(1-K12)</f>
        <v>2160</v>
      </c>
      <c r="M12" s="2" t="str">
        <f aca="false">TEXT(B12,"mmm")</f>
        <v>Feb</v>
      </c>
      <c r="N12" s="2" t="n">
        <f aca="false">MONTH(B12)</f>
        <v>2</v>
      </c>
    </row>
    <row r="13" customFormat="false" ht="15" hidden="false" customHeight="false" outlineLevel="0" collapsed="false">
      <c r="A13" s="2" t="s">
        <v>52</v>
      </c>
      <c r="B13" s="6" t="n">
        <v>45701</v>
      </c>
      <c r="C13" s="2" t="s">
        <v>19</v>
      </c>
      <c r="D13" s="2" t="s">
        <v>20</v>
      </c>
      <c r="E13" s="2" t="s">
        <v>53</v>
      </c>
      <c r="F13" s="2" t="s">
        <v>15</v>
      </c>
      <c r="G13" s="2" t="s">
        <v>42</v>
      </c>
      <c r="H13" s="2" t="s">
        <v>17</v>
      </c>
      <c r="I13" s="2" t="n">
        <v>10</v>
      </c>
      <c r="J13" s="7" t="n">
        <v>3800</v>
      </c>
      <c r="K13" s="8" t="n">
        <v>0.1</v>
      </c>
      <c r="L13" s="7" t="n">
        <f aca="false">I13*J13*(1-K13)</f>
        <v>34200</v>
      </c>
      <c r="M13" s="2" t="str">
        <f aca="false">TEXT(B13,"mmm")</f>
        <v>Feb</v>
      </c>
      <c r="N13" s="2" t="n">
        <f aca="false">MONTH(B13)</f>
        <v>2</v>
      </c>
    </row>
    <row r="14" customFormat="false" ht="15" hidden="false" customHeight="false" outlineLevel="0" collapsed="false">
      <c r="A14" s="2" t="s">
        <v>54</v>
      </c>
      <c r="B14" s="6" t="n">
        <v>45704</v>
      </c>
      <c r="C14" s="2" t="s">
        <v>12</v>
      </c>
      <c r="D14" s="2" t="s">
        <v>13</v>
      </c>
      <c r="E14" s="2" t="s">
        <v>14</v>
      </c>
      <c r="F14" s="2" t="s">
        <v>22</v>
      </c>
      <c r="G14" s="2" t="s">
        <v>23</v>
      </c>
      <c r="H14" s="2" t="s">
        <v>17</v>
      </c>
      <c r="I14" s="2" t="n">
        <v>24</v>
      </c>
      <c r="J14" s="7" t="n">
        <v>240</v>
      </c>
      <c r="K14" s="8" t="n">
        <v>0</v>
      </c>
      <c r="L14" s="7" t="n">
        <f aca="false">I14*J14*(1-K14)</f>
        <v>5760</v>
      </c>
      <c r="M14" s="2" t="str">
        <f aca="false">TEXT(B14,"mmm")</f>
        <v>Feb</v>
      </c>
      <c r="N14" s="2" t="n">
        <f aca="false">MONTH(B14)</f>
        <v>2</v>
      </c>
    </row>
    <row r="15" customFormat="false" ht="15" hidden="false" customHeight="false" outlineLevel="0" collapsed="false">
      <c r="A15" s="2" t="s">
        <v>55</v>
      </c>
      <c r="B15" s="6" t="n">
        <v>45708</v>
      </c>
      <c r="C15" s="2" t="s">
        <v>12</v>
      </c>
      <c r="D15" s="2" t="s">
        <v>51</v>
      </c>
      <c r="E15" s="2" t="s">
        <v>26</v>
      </c>
      <c r="F15" s="2" t="s">
        <v>56</v>
      </c>
      <c r="G15" s="2" t="s">
        <v>57</v>
      </c>
      <c r="H15" s="2" t="s">
        <v>24</v>
      </c>
      <c r="I15" s="2" t="n">
        <v>12</v>
      </c>
      <c r="J15" s="7" t="n">
        <v>2600</v>
      </c>
      <c r="K15" s="8" t="n">
        <v>0</v>
      </c>
      <c r="L15" s="7" t="n">
        <f aca="false">I15*J15*(1-K15)</f>
        <v>31200</v>
      </c>
      <c r="M15" s="2" t="str">
        <f aca="false">TEXT(B15,"mmm")</f>
        <v>Feb</v>
      </c>
      <c r="N15" s="2" t="n">
        <f aca="false">MONTH(B15)</f>
        <v>2</v>
      </c>
    </row>
    <row r="16" customFormat="false" ht="15" hidden="false" customHeight="false" outlineLevel="0" collapsed="false">
      <c r="A16" s="2" t="s">
        <v>58</v>
      </c>
      <c r="B16" s="6" t="n">
        <v>45709</v>
      </c>
      <c r="C16" s="2" t="s">
        <v>19</v>
      </c>
      <c r="D16" s="2" t="s">
        <v>20</v>
      </c>
      <c r="E16" s="2" t="s">
        <v>14</v>
      </c>
      <c r="F16" s="2" t="s">
        <v>22</v>
      </c>
      <c r="G16" s="2" t="s">
        <v>23</v>
      </c>
      <c r="H16" s="2" t="s">
        <v>27</v>
      </c>
      <c r="I16" s="2" t="n">
        <v>8</v>
      </c>
      <c r="J16" s="7" t="n">
        <v>240</v>
      </c>
      <c r="K16" s="8" t="n">
        <v>0.05</v>
      </c>
      <c r="L16" s="7" t="n">
        <f aca="false">I16*J16*(1-K16)</f>
        <v>1824</v>
      </c>
      <c r="M16" s="2" t="str">
        <f aca="false">TEXT(B16,"mmm")</f>
        <v>Feb</v>
      </c>
      <c r="N16" s="2" t="n">
        <f aca="false">MONTH(B16)</f>
        <v>2</v>
      </c>
    </row>
    <row r="17" customFormat="false" ht="15" hidden="false" customHeight="false" outlineLevel="0" collapsed="false">
      <c r="A17" s="2" t="s">
        <v>59</v>
      </c>
      <c r="B17" s="6" t="n">
        <v>45709</v>
      </c>
      <c r="C17" s="2" t="s">
        <v>12</v>
      </c>
      <c r="D17" s="2" t="s">
        <v>13</v>
      </c>
      <c r="E17" s="2" t="s">
        <v>34</v>
      </c>
      <c r="F17" s="2" t="s">
        <v>22</v>
      </c>
      <c r="G17" s="2" t="s">
        <v>23</v>
      </c>
      <c r="H17" s="2" t="s">
        <v>17</v>
      </c>
      <c r="I17" s="2" t="n">
        <v>15</v>
      </c>
      <c r="J17" s="7" t="n">
        <v>240</v>
      </c>
      <c r="K17" s="8" t="n">
        <v>0</v>
      </c>
      <c r="L17" s="7" t="n">
        <f aca="false">I17*J17*(1-K17)</f>
        <v>3600</v>
      </c>
      <c r="M17" s="2" t="str">
        <f aca="false">TEXT(B17,"mmm")</f>
        <v>Feb</v>
      </c>
      <c r="N17" s="2" t="n">
        <f aca="false">MONTH(B17)</f>
        <v>2</v>
      </c>
    </row>
    <row r="18" customFormat="false" ht="15" hidden="false" customHeight="false" outlineLevel="0" collapsed="false">
      <c r="A18" s="2" t="s">
        <v>60</v>
      </c>
      <c r="B18" s="6" t="n">
        <v>45711</v>
      </c>
      <c r="C18" s="2" t="s">
        <v>61</v>
      </c>
      <c r="D18" s="2" t="s">
        <v>62</v>
      </c>
      <c r="E18" s="2" t="s">
        <v>29</v>
      </c>
      <c r="F18" s="2" t="s">
        <v>22</v>
      </c>
      <c r="G18" s="2" t="s">
        <v>47</v>
      </c>
      <c r="H18" s="2" t="s">
        <v>27</v>
      </c>
      <c r="I18" s="2" t="n">
        <v>22</v>
      </c>
      <c r="J18" s="7" t="n">
        <v>120</v>
      </c>
      <c r="K18" s="8" t="n">
        <v>0.05</v>
      </c>
      <c r="L18" s="7" t="n">
        <f aca="false">I18*J18*(1-K18)</f>
        <v>2508</v>
      </c>
      <c r="M18" s="2" t="str">
        <f aca="false">TEXT(B18,"mmm")</f>
        <v>Feb</v>
      </c>
      <c r="N18" s="2" t="n">
        <f aca="false">MONTH(B18)</f>
        <v>2</v>
      </c>
    </row>
    <row r="19" customFormat="false" ht="15" hidden="false" customHeight="false" outlineLevel="0" collapsed="false">
      <c r="A19" s="2" t="s">
        <v>63</v>
      </c>
      <c r="B19" s="6" t="n">
        <v>45716</v>
      </c>
      <c r="C19" s="2" t="s">
        <v>61</v>
      </c>
      <c r="D19" s="2" t="s">
        <v>62</v>
      </c>
      <c r="E19" s="2" t="s">
        <v>53</v>
      </c>
      <c r="F19" s="2" t="s">
        <v>56</v>
      </c>
      <c r="G19" s="2" t="s">
        <v>57</v>
      </c>
      <c r="H19" s="2" t="s">
        <v>27</v>
      </c>
      <c r="I19" s="2" t="n">
        <v>23</v>
      </c>
      <c r="J19" s="7" t="n">
        <v>2600</v>
      </c>
      <c r="K19" s="8" t="n">
        <v>0.05</v>
      </c>
      <c r="L19" s="7" t="n">
        <f aca="false">I19*J19*(1-K19)</f>
        <v>56810</v>
      </c>
      <c r="M19" s="2" t="str">
        <f aca="false">TEXT(B19,"mmm")</f>
        <v>Feb</v>
      </c>
      <c r="N19" s="2" t="n">
        <f aca="false">MONTH(B19)</f>
        <v>2</v>
      </c>
    </row>
    <row r="20" customFormat="false" ht="15" hidden="false" customHeight="false" outlineLevel="0" collapsed="false">
      <c r="A20" s="2" t="s">
        <v>64</v>
      </c>
      <c r="B20" s="6" t="n">
        <v>45717</v>
      </c>
      <c r="C20" s="2" t="s">
        <v>19</v>
      </c>
      <c r="D20" s="2" t="s">
        <v>33</v>
      </c>
      <c r="E20" s="2" t="s">
        <v>65</v>
      </c>
      <c r="F20" s="2" t="s">
        <v>30</v>
      </c>
      <c r="G20" s="2" t="s">
        <v>66</v>
      </c>
      <c r="H20" s="2" t="s">
        <v>24</v>
      </c>
      <c r="I20" s="2" t="n">
        <v>9</v>
      </c>
      <c r="J20" s="7" t="n">
        <v>1800</v>
      </c>
      <c r="K20" s="8" t="n">
        <v>0.1</v>
      </c>
      <c r="L20" s="7" t="n">
        <f aca="false">I20*J20*(1-K20)</f>
        <v>14580</v>
      </c>
      <c r="M20" s="2" t="str">
        <f aca="false">TEXT(B20,"mmm")</f>
        <v>Mar</v>
      </c>
      <c r="N20" s="2" t="n">
        <f aca="false">MONTH(B20)</f>
        <v>3</v>
      </c>
    </row>
    <row r="21" customFormat="false" ht="15" hidden="false" customHeight="false" outlineLevel="0" collapsed="false">
      <c r="A21" s="2" t="s">
        <v>67</v>
      </c>
      <c r="B21" s="6" t="n">
        <v>45721</v>
      </c>
      <c r="C21" s="2" t="s">
        <v>19</v>
      </c>
      <c r="D21" s="2" t="s">
        <v>68</v>
      </c>
      <c r="E21" s="2" t="s">
        <v>34</v>
      </c>
      <c r="F21" s="2" t="s">
        <v>30</v>
      </c>
      <c r="G21" s="2" t="s">
        <v>31</v>
      </c>
      <c r="H21" s="2" t="s">
        <v>27</v>
      </c>
      <c r="I21" s="2" t="n">
        <v>18</v>
      </c>
      <c r="J21" s="7" t="n">
        <v>11999</v>
      </c>
      <c r="K21" s="8" t="n">
        <v>0</v>
      </c>
      <c r="L21" s="7" t="n">
        <f aca="false">I21*J21*(1-K21)</f>
        <v>215982</v>
      </c>
      <c r="M21" s="2" t="str">
        <f aca="false">TEXT(B21,"mmm")</f>
        <v>Mar</v>
      </c>
      <c r="N21" s="2" t="n">
        <f aca="false">MONTH(B21)</f>
        <v>3</v>
      </c>
    </row>
    <row r="22" customFormat="false" ht="15" hidden="false" customHeight="false" outlineLevel="0" collapsed="false">
      <c r="A22" s="2" t="s">
        <v>69</v>
      </c>
      <c r="B22" s="6" t="n">
        <v>45725</v>
      </c>
      <c r="C22" s="2" t="s">
        <v>19</v>
      </c>
      <c r="D22" s="2" t="s">
        <v>70</v>
      </c>
      <c r="E22" s="2" t="s">
        <v>26</v>
      </c>
      <c r="F22" s="2" t="s">
        <v>15</v>
      </c>
      <c r="G22" s="2" t="s">
        <v>42</v>
      </c>
      <c r="H22" s="2" t="s">
        <v>17</v>
      </c>
      <c r="I22" s="2" t="n">
        <v>9</v>
      </c>
      <c r="J22" s="7" t="n">
        <v>3800</v>
      </c>
      <c r="K22" s="8" t="n">
        <v>0</v>
      </c>
      <c r="L22" s="7" t="n">
        <f aca="false">I22*J22*(1-K22)</f>
        <v>34200</v>
      </c>
      <c r="M22" s="2" t="str">
        <f aca="false">TEXT(B22,"mmm")</f>
        <v>Mar</v>
      </c>
      <c r="N22" s="2" t="n">
        <f aca="false">MONTH(B22)</f>
        <v>3</v>
      </c>
    </row>
    <row r="23" customFormat="false" ht="15" hidden="false" customHeight="false" outlineLevel="0" collapsed="false">
      <c r="A23" s="2" t="s">
        <v>71</v>
      </c>
      <c r="B23" s="6" t="n">
        <v>45728</v>
      </c>
      <c r="C23" s="2" t="s">
        <v>40</v>
      </c>
      <c r="D23" s="2" t="s">
        <v>41</v>
      </c>
      <c r="E23" s="2" t="s">
        <v>34</v>
      </c>
      <c r="F23" s="2" t="s">
        <v>56</v>
      </c>
      <c r="G23" s="2" t="s">
        <v>72</v>
      </c>
      <c r="H23" s="2" t="s">
        <v>17</v>
      </c>
      <c r="I23" s="2" t="n">
        <v>8</v>
      </c>
      <c r="J23" s="7" t="n">
        <v>1750</v>
      </c>
      <c r="K23" s="8" t="n">
        <v>0</v>
      </c>
      <c r="L23" s="7" t="n">
        <f aca="false">I23*J23*(1-K23)</f>
        <v>14000</v>
      </c>
      <c r="M23" s="2" t="str">
        <f aca="false">TEXT(B23,"mmm")</f>
        <v>Mar</v>
      </c>
      <c r="N23" s="2" t="n">
        <f aca="false">MONTH(B23)</f>
        <v>3</v>
      </c>
    </row>
    <row r="24" customFormat="false" ht="15" hidden="false" customHeight="false" outlineLevel="0" collapsed="false">
      <c r="A24" s="2" t="s">
        <v>73</v>
      </c>
      <c r="B24" s="6" t="n">
        <v>45729</v>
      </c>
      <c r="C24" s="2" t="s">
        <v>19</v>
      </c>
      <c r="D24" s="2" t="s">
        <v>70</v>
      </c>
      <c r="E24" s="2" t="s">
        <v>65</v>
      </c>
      <c r="F24" s="2" t="s">
        <v>22</v>
      </c>
      <c r="G24" s="2" t="s">
        <v>23</v>
      </c>
      <c r="H24" s="2" t="s">
        <v>24</v>
      </c>
      <c r="I24" s="2" t="n">
        <v>8</v>
      </c>
      <c r="J24" s="7" t="n">
        <v>240</v>
      </c>
      <c r="K24" s="8" t="n">
        <v>0.1</v>
      </c>
      <c r="L24" s="7" t="n">
        <f aca="false">I24*J24*(1-K24)</f>
        <v>1728</v>
      </c>
      <c r="M24" s="2" t="str">
        <f aca="false">TEXT(B24,"mmm")</f>
        <v>Mar</v>
      </c>
      <c r="N24" s="2" t="n">
        <f aca="false">MONTH(B24)</f>
        <v>3</v>
      </c>
    </row>
    <row r="25" customFormat="false" ht="15" hidden="false" customHeight="false" outlineLevel="0" collapsed="false">
      <c r="A25" s="2" t="s">
        <v>74</v>
      </c>
      <c r="B25" s="6" t="n">
        <v>45731</v>
      </c>
      <c r="C25" s="2" t="s">
        <v>19</v>
      </c>
      <c r="D25" s="2" t="s">
        <v>68</v>
      </c>
      <c r="E25" s="2" t="s">
        <v>53</v>
      </c>
      <c r="F25" s="2" t="s">
        <v>15</v>
      </c>
      <c r="G25" s="2" t="s">
        <v>16</v>
      </c>
      <c r="H25" s="2" t="s">
        <v>27</v>
      </c>
      <c r="I25" s="2" t="n">
        <v>19</v>
      </c>
      <c r="J25" s="7" t="n">
        <v>6500</v>
      </c>
      <c r="K25" s="8" t="n">
        <v>0</v>
      </c>
      <c r="L25" s="7" t="n">
        <f aca="false">I25*J25*(1-K25)</f>
        <v>123500</v>
      </c>
      <c r="M25" s="2" t="str">
        <f aca="false">TEXT(B25,"mmm")</f>
        <v>Mar</v>
      </c>
      <c r="N25" s="2" t="n">
        <f aca="false">MONTH(B25)</f>
        <v>3</v>
      </c>
    </row>
    <row r="26" customFormat="false" ht="15" hidden="false" customHeight="false" outlineLevel="0" collapsed="false">
      <c r="A26" s="2" t="s">
        <v>75</v>
      </c>
      <c r="B26" s="6" t="n">
        <v>45733</v>
      </c>
      <c r="C26" s="2" t="s">
        <v>12</v>
      </c>
      <c r="D26" s="2" t="s">
        <v>13</v>
      </c>
      <c r="E26" s="2" t="s">
        <v>44</v>
      </c>
      <c r="F26" s="2" t="s">
        <v>15</v>
      </c>
      <c r="G26" s="2" t="s">
        <v>49</v>
      </c>
      <c r="H26" s="2" t="s">
        <v>27</v>
      </c>
      <c r="I26" s="2" t="n">
        <v>11</v>
      </c>
      <c r="J26" s="7" t="n">
        <v>4200</v>
      </c>
      <c r="K26" s="8" t="n">
        <v>0</v>
      </c>
      <c r="L26" s="7" t="n">
        <f aca="false">I26*J26*(1-K26)</f>
        <v>46200</v>
      </c>
      <c r="M26" s="2" t="str">
        <f aca="false">TEXT(B26,"mmm")</f>
        <v>Mar</v>
      </c>
      <c r="N26" s="2" t="n">
        <f aca="false">MONTH(B26)</f>
        <v>3</v>
      </c>
    </row>
    <row r="27" customFormat="false" ht="15" hidden="false" customHeight="false" outlineLevel="0" collapsed="false">
      <c r="A27" s="2" t="s">
        <v>76</v>
      </c>
      <c r="B27" s="6" t="n">
        <v>45736</v>
      </c>
      <c r="C27" s="2" t="s">
        <v>19</v>
      </c>
      <c r="D27" s="2" t="s">
        <v>20</v>
      </c>
      <c r="E27" s="2" t="s">
        <v>53</v>
      </c>
      <c r="F27" s="2" t="s">
        <v>15</v>
      </c>
      <c r="G27" s="2" t="s">
        <v>49</v>
      </c>
      <c r="H27" s="2" t="s">
        <v>17</v>
      </c>
      <c r="I27" s="2" t="n">
        <v>20</v>
      </c>
      <c r="J27" s="7" t="n">
        <v>4200</v>
      </c>
      <c r="K27" s="8" t="n">
        <v>0.05</v>
      </c>
      <c r="L27" s="7" t="n">
        <f aca="false">I27*J27*(1-K27)</f>
        <v>79800</v>
      </c>
      <c r="M27" s="2" t="str">
        <f aca="false">TEXT(B27,"mmm")</f>
        <v>Mar</v>
      </c>
      <c r="N27" s="2" t="n">
        <f aca="false">MONTH(B27)</f>
        <v>3</v>
      </c>
    </row>
    <row r="28" customFormat="false" ht="15" hidden="false" customHeight="false" outlineLevel="0" collapsed="false">
      <c r="A28" s="2" t="s">
        <v>77</v>
      </c>
      <c r="B28" s="6" t="n">
        <v>45737</v>
      </c>
      <c r="C28" s="2" t="s">
        <v>61</v>
      </c>
      <c r="D28" s="2" t="s">
        <v>78</v>
      </c>
      <c r="E28" s="2" t="s">
        <v>53</v>
      </c>
      <c r="F28" s="2" t="s">
        <v>56</v>
      </c>
      <c r="G28" s="2" t="s">
        <v>79</v>
      </c>
      <c r="H28" s="2" t="s">
        <v>17</v>
      </c>
      <c r="I28" s="2" t="n">
        <v>24</v>
      </c>
      <c r="J28" s="7" t="n">
        <v>8900</v>
      </c>
      <c r="K28" s="8" t="n">
        <v>0</v>
      </c>
      <c r="L28" s="7" t="n">
        <f aca="false">I28*J28*(1-K28)</f>
        <v>213600</v>
      </c>
      <c r="M28" s="2" t="str">
        <f aca="false">TEXT(B28,"mmm")</f>
        <v>Mar</v>
      </c>
      <c r="N28" s="2" t="n">
        <f aca="false">MONTH(B28)</f>
        <v>3</v>
      </c>
    </row>
    <row r="29" customFormat="false" ht="15" hidden="false" customHeight="false" outlineLevel="0" collapsed="false">
      <c r="A29" s="2" t="s">
        <v>80</v>
      </c>
      <c r="B29" s="6" t="n">
        <v>45738</v>
      </c>
      <c r="C29" s="2" t="s">
        <v>12</v>
      </c>
      <c r="D29" s="2" t="s">
        <v>81</v>
      </c>
      <c r="E29" s="2" t="s">
        <v>44</v>
      </c>
      <c r="F29" s="2" t="s">
        <v>15</v>
      </c>
      <c r="G29" s="2" t="s">
        <v>42</v>
      </c>
      <c r="H29" s="2" t="s">
        <v>27</v>
      </c>
      <c r="I29" s="2" t="n">
        <v>3</v>
      </c>
      <c r="J29" s="7" t="n">
        <v>3800</v>
      </c>
      <c r="K29" s="8" t="n">
        <v>0.05</v>
      </c>
      <c r="L29" s="7" t="n">
        <f aca="false">I29*J29*(1-K29)</f>
        <v>10830</v>
      </c>
      <c r="M29" s="2" t="str">
        <f aca="false">TEXT(B29,"mmm")</f>
        <v>Mar</v>
      </c>
      <c r="N29" s="2" t="n">
        <f aca="false">MONTH(B29)</f>
        <v>3</v>
      </c>
    </row>
    <row r="30" customFormat="false" ht="15" hidden="false" customHeight="false" outlineLevel="0" collapsed="false">
      <c r="A30" s="2" t="s">
        <v>82</v>
      </c>
      <c r="B30" s="6" t="n">
        <v>45747</v>
      </c>
      <c r="C30" s="2" t="s">
        <v>19</v>
      </c>
      <c r="D30" s="2" t="s">
        <v>33</v>
      </c>
      <c r="E30" s="2" t="s">
        <v>53</v>
      </c>
      <c r="F30" s="2" t="s">
        <v>22</v>
      </c>
      <c r="G30" s="2" t="s">
        <v>35</v>
      </c>
      <c r="H30" s="2" t="s">
        <v>17</v>
      </c>
      <c r="I30" s="2" t="n">
        <v>14</v>
      </c>
      <c r="J30" s="7" t="n">
        <v>320</v>
      </c>
      <c r="K30" s="8" t="n">
        <v>0.1</v>
      </c>
      <c r="L30" s="7" t="n">
        <f aca="false">I30*J30*(1-K30)</f>
        <v>4032</v>
      </c>
      <c r="M30" s="2" t="str">
        <f aca="false">TEXT(B30,"mmm")</f>
        <v>Mar</v>
      </c>
      <c r="N30" s="2" t="n">
        <f aca="false">MONTH(B30)</f>
        <v>3</v>
      </c>
    </row>
    <row r="31" customFormat="false" ht="15" hidden="false" customHeight="false" outlineLevel="0" collapsed="false">
      <c r="A31" s="2" t="s">
        <v>83</v>
      </c>
      <c r="B31" s="6" t="n">
        <v>45751</v>
      </c>
      <c r="C31" s="2" t="s">
        <v>12</v>
      </c>
      <c r="D31" s="2" t="s">
        <v>81</v>
      </c>
      <c r="E31" s="2" t="s">
        <v>21</v>
      </c>
      <c r="F31" s="2" t="s">
        <v>56</v>
      </c>
      <c r="G31" s="2" t="s">
        <v>57</v>
      </c>
      <c r="H31" s="2" t="s">
        <v>27</v>
      </c>
      <c r="I31" s="2" t="n">
        <v>14</v>
      </c>
      <c r="J31" s="7" t="n">
        <v>2600</v>
      </c>
      <c r="K31" s="8" t="n">
        <v>0</v>
      </c>
      <c r="L31" s="7" t="n">
        <f aca="false">I31*J31*(1-K31)</f>
        <v>36400</v>
      </c>
      <c r="M31" s="2" t="str">
        <f aca="false">TEXT(B31,"mmm")</f>
        <v>Apr</v>
      </c>
      <c r="N31" s="2" t="n">
        <f aca="false">MONTH(B31)</f>
        <v>4</v>
      </c>
    </row>
    <row r="32" customFormat="false" ht="15" hidden="false" customHeight="false" outlineLevel="0" collapsed="false">
      <c r="A32" s="2" t="s">
        <v>84</v>
      </c>
      <c r="B32" s="6" t="n">
        <v>45751</v>
      </c>
      <c r="C32" s="2" t="s">
        <v>19</v>
      </c>
      <c r="D32" s="2" t="s">
        <v>70</v>
      </c>
      <c r="E32" s="2" t="s">
        <v>44</v>
      </c>
      <c r="F32" s="2" t="s">
        <v>56</v>
      </c>
      <c r="G32" s="2" t="s">
        <v>57</v>
      </c>
      <c r="H32" s="2" t="s">
        <v>27</v>
      </c>
      <c r="I32" s="2" t="n">
        <v>15</v>
      </c>
      <c r="J32" s="7" t="n">
        <v>2600</v>
      </c>
      <c r="K32" s="8" t="n">
        <v>0.05</v>
      </c>
      <c r="L32" s="7" t="n">
        <f aca="false">I32*J32*(1-K32)</f>
        <v>37050</v>
      </c>
      <c r="M32" s="2" t="str">
        <f aca="false">TEXT(B32,"mmm")</f>
        <v>Apr</v>
      </c>
      <c r="N32" s="2" t="n">
        <f aca="false">MONTH(B32)</f>
        <v>4</v>
      </c>
    </row>
    <row r="33" customFormat="false" ht="15" hidden="false" customHeight="false" outlineLevel="0" collapsed="false">
      <c r="A33" s="2" t="s">
        <v>85</v>
      </c>
      <c r="B33" s="6" t="n">
        <v>45755</v>
      </c>
      <c r="C33" s="2" t="s">
        <v>40</v>
      </c>
      <c r="D33" s="2" t="s">
        <v>41</v>
      </c>
      <c r="E33" s="2" t="s">
        <v>21</v>
      </c>
      <c r="F33" s="2" t="s">
        <v>30</v>
      </c>
      <c r="G33" s="2" t="s">
        <v>86</v>
      </c>
      <c r="H33" s="2" t="s">
        <v>17</v>
      </c>
      <c r="I33" s="2" t="n">
        <v>19</v>
      </c>
      <c r="J33" s="7" t="n">
        <v>42500</v>
      </c>
      <c r="K33" s="8" t="n">
        <v>0.05</v>
      </c>
      <c r="L33" s="7" t="n">
        <f aca="false">I33*J33*(1-K33)</f>
        <v>767125</v>
      </c>
      <c r="M33" s="2" t="str">
        <f aca="false">TEXT(B33,"mmm")</f>
        <v>Apr</v>
      </c>
      <c r="N33" s="2" t="n">
        <f aca="false">MONTH(B33)</f>
        <v>4</v>
      </c>
    </row>
    <row r="34" customFormat="false" ht="15" hidden="false" customHeight="false" outlineLevel="0" collapsed="false">
      <c r="A34" s="2" t="s">
        <v>87</v>
      </c>
      <c r="B34" s="6" t="n">
        <v>45755</v>
      </c>
      <c r="C34" s="2" t="s">
        <v>61</v>
      </c>
      <c r="D34" s="2" t="s">
        <v>38</v>
      </c>
      <c r="E34" s="2" t="s">
        <v>21</v>
      </c>
      <c r="F34" s="2" t="s">
        <v>22</v>
      </c>
      <c r="G34" s="2" t="s">
        <v>23</v>
      </c>
      <c r="H34" s="2" t="s">
        <v>24</v>
      </c>
      <c r="I34" s="2" t="n">
        <v>21</v>
      </c>
      <c r="J34" s="7" t="n">
        <v>240</v>
      </c>
      <c r="K34" s="8" t="n">
        <v>0</v>
      </c>
      <c r="L34" s="7" t="n">
        <f aca="false">I34*J34*(1-K34)</f>
        <v>5040</v>
      </c>
      <c r="M34" s="2" t="str">
        <f aca="false">TEXT(B34,"mmm")</f>
        <v>Apr</v>
      </c>
      <c r="N34" s="2" t="n">
        <f aca="false">MONTH(B34)</f>
        <v>4</v>
      </c>
    </row>
    <row r="35" customFormat="false" ht="15" hidden="false" customHeight="false" outlineLevel="0" collapsed="false">
      <c r="A35" s="2" t="s">
        <v>88</v>
      </c>
      <c r="B35" s="6" t="n">
        <v>45760</v>
      </c>
      <c r="C35" s="2" t="s">
        <v>19</v>
      </c>
      <c r="D35" s="2" t="s">
        <v>68</v>
      </c>
      <c r="E35" s="2" t="s">
        <v>34</v>
      </c>
      <c r="F35" s="2" t="s">
        <v>30</v>
      </c>
      <c r="G35" s="2" t="s">
        <v>86</v>
      </c>
      <c r="H35" s="2" t="s">
        <v>27</v>
      </c>
      <c r="I35" s="2" t="n">
        <v>8</v>
      </c>
      <c r="J35" s="7" t="n">
        <v>42500</v>
      </c>
      <c r="K35" s="8" t="n">
        <v>0</v>
      </c>
      <c r="L35" s="7" t="n">
        <f aca="false">I35*J35*(1-K35)</f>
        <v>340000</v>
      </c>
      <c r="M35" s="2" t="str">
        <f aca="false">TEXT(B35,"mmm")</f>
        <v>Apr</v>
      </c>
      <c r="N35" s="2" t="n">
        <f aca="false">MONTH(B35)</f>
        <v>4</v>
      </c>
    </row>
    <row r="36" customFormat="false" ht="15" hidden="false" customHeight="false" outlineLevel="0" collapsed="false">
      <c r="A36" s="2" t="s">
        <v>89</v>
      </c>
      <c r="B36" s="6" t="n">
        <v>45764</v>
      </c>
      <c r="C36" s="2" t="s">
        <v>40</v>
      </c>
      <c r="D36" s="2" t="s">
        <v>90</v>
      </c>
      <c r="E36" s="2" t="s">
        <v>53</v>
      </c>
      <c r="F36" s="2" t="s">
        <v>30</v>
      </c>
      <c r="G36" s="2" t="s">
        <v>91</v>
      </c>
      <c r="H36" s="2" t="s">
        <v>27</v>
      </c>
      <c r="I36" s="2" t="n">
        <v>25</v>
      </c>
      <c r="J36" s="7" t="n">
        <v>14500</v>
      </c>
      <c r="K36" s="8" t="n">
        <v>0</v>
      </c>
      <c r="L36" s="7" t="n">
        <f aca="false">I36*J36*(1-K36)</f>
        <v>362500</v>
      </c>
      <c r="M36" s="2" t="str">
        <f aca="false">TEXT(B36,"mmm")</f>
        <v>Apr</v>
      </c>
      <c r="N36" s="2" t="n">
        <f aca="false">MONTH(B36)</f>
        <v>4</v>
      </c>
    </row>
    <row r="37" customFormat="false" ht="15" hidden="false" customHeight="false" outlineLevel="0" collapsed="false">
      <c r="A37" s="2" t="s">
        <v>92</v>
      </c>
      <c r="B37" s="6" t="n">
        <v>45765</v>
      </c>
      <c r="C37" s="2" t="s">
        <v>19</v>
      </c>
      <c r="D37" s="2" t="s">
        <v>33</v>
      </c>
      <c r="E37" s="2" t="s">
        <v>53</v>
      </c>
      <c r="F37" s="2" t="s">
        <v>22</v>
      </c>
      <c r="G37" s="2" t="s">
        <v>23</v>
      </c>
      <c r="H37" s="2" t="s">
        <v>24</v>
      </c>
      <c r="I37" s="2" t="n">
        <v>12</v>
      </c>
      <c r="J37" s="7" t="n">
        <v>240</v>
      </c>
      <c r="K37" s="8" t="n">
        <v>0</v>
      </c>
      <c r="L37" s="7" t="n">
        <f aca="false">I37*J37*(1-K37)</f>
        <v>2880</v>
      </c>
      <c r="M37" s="2" t="str">
        <f aca="false">TEXT(B37,"mmm")</f>
        <v>Apr</v>
      </c>
      <c r="N37" s="2" t="n">
        <f aca="false">MONTH(B37)</f>
        <v>4</v>
      </c>
    </row>
    <row r="38" customFormat="false" ht="15" hidden="false" customHeight="false" outlineLevel="0" collapsed="false">
      <c r="A38" s="2" t="s">
        <v>93</v>
      </c>
      <c r="B38" s="6" t="n">
        <v>45765</v>
      </c>
      <c r="C38" s="2" t="s">
        <v>61</v>
      </c>
      <c r="D38" s="2" t="s">
        <v>62</v>
      </c>
      <c r="E38" s="2" t="s">
        <v>14</v>
      </c>
      <c r="F38" s="2" t="s">
        <v>30</v>
      </c>
      <c r="G38" s="2" t="s">
        <v>31</v>
      </c>
      <c r="H38" s="2" t="s">
        <v>24</v>
      </c>
      <c r="I38" s="2" t="n">
        <v>10</v>
      </c>
      <c r="J38" s="7" t="n">
        <v>11999</v>
      </c>
      <c r="K38" s="8" t="n">
        <v>0.1</v>
      </c>
      <c r="L38" s="7" t="n">
        <f aca="false">I38*J38*(1-K38)</f>
        <v>107991</v>
      </c>
      <c r="M38" s="2" t="str">
        <f aca="false">TEXT(B38,"mmm")</f>
        <v>Apr</v>
      </c>
      <c r="N38" s="2" t="n">
        <f aca="false">MONTH(B38)</f>
        <v>4</v>
      </c>
    </row>
    <row r="39" customFormat="false" ht="15" hidden="false" customHeight="false" outlineLevel="0" collapsed="false">
      <c r="A39" s="2" t="s">
        <v>94</v>
      </c>
      <c r="B39" s="6" t="n">
        <v>45767</v>
      </c>
      <c r="C39" s="2" t="s">
        <v>61</v>
      </c>
      <c r="D39" s="2" t="s">
        <v>62</v>
      </c>
      <c r="E39" s="2" t="s">
        <v>34</v>
      </c>
      <c r="F39" s="2" t="s">
        <v>56</v>
      </c>
      <c r="G39" s="2" t="s">
        <v>72</v>
      </c>
      <c r="H39" s="2" t="s">
        <v>24</v>
      </c>
      <c r="I39" s="2" t="n">
        <v>22</v>
      </c>
      <c r="J39" s="7" t="n">
        <v>1750</v>
      </c>
      <c r="K39" s="8" t="n">
        <v>0</v>
      </c>
      <c r="L39" s="7" t="n">
        <f aca="false">I39*J39*(1-K39)</f>
        <v>38500</v>
      </c>
      <c r="M39" s="2" t="str">
        <f aca="false">TEXT(B39,"mmm")</f>
        <v>Apr</v>
      </c>
      <c r="N39" s="2" t="n">
        <f aca="false">MONTH(B39)</f>
        <v>4</v>
      </c>
    </row>
    <row r="40" customFormat="false" ht="15" hidden="false" customHeight="false" outlineLevel="0" collapsed="false">
      <c r="A40" s="2" t="s">
        <v>95</v>
      </c>
      <c r="B40" s="6" t="n">
        <v>45769</v>
      </c>
      <c r="C40" s="2" t="s">
        <v>19</v>
      </c>
      <c r="D40" s="2" t="s">
        <v>68</v>
      </c>
      <c r="E40" s="2" t="s">
        <v>53</v>
      </c>
      <c r="F40" s="2" t="s">
        <v>30</v>
      </c>
      <c r="G40" s="2" t="s">
        <v>91</v>
      </c>
      <c r="H40" s="2" t="s">
        <v>24</v>
      </c>
      <c r="I40" s="2" t="n">
        <v>3</v>
      </c>
      <c r="J40" s="7" t="n">
        <v>14500</v>
      </c>
      <c r="K40" s="8" t="n">
        <v>0.1</v>
      </c>
      <c r="L40" s="7" t="n">
        <f aca="false">I40*J40*(1-K40)</f>
        <v>39150</v>
      </c>
      <c r="M40" s="2" t="str">
        <f aca="false">TEXT(B40,"mmm")</f>
        <v>Apr</v>
      </c>
      <c r="N40" s="2" t="n">
        <f aca="false">MONTH(B40)</f>
        <v>4</v>
      </c>
    </row>
    <row r="41" customFormat="false" ht="15" hidden="false" customHeight="false" outlineLevel="0" collapsed="false">
      <c r="A41" s="2" t="s">
        <v>96</v>
      </c>
      <c r="B41" s="6" t="n">
        <v>45770</v>
      </c>
      <c r="C41" s="2" t="s">
        <v>19</v>
      </c>
      <c r="D41" s="2" t="s">
        <v>33</v>
      </c>
      <c r="E41" s="2" t="s">
        <v>44</v>
      </c>
      <c r="F41" s="2" t="s">
        <v>30</v>
      </c>
      <c r="G41" s="2" t="s">
        <v>66</v>
      </c>
      <c r="H41" s="2" t="s">
        <v>17</v>
      </c>
      <c r="I41" s="2" t="n">
        <v>19</v>
      </c>
      <c r="J41" s="7" t="n">
        <v>1800</v>
      </c>
      <c r="K41" s="8" t="n">
        <v>0</v>
      </c>
      <c r="L41" s="7" t="n">
        <f aca="false">I41*J41*(1-K41)</f>
        <v>34200</v>
      </c>
      <c r="M41" s="2" t="str">
        <f aca="false">TEXT(B41,"mmm")</f>
        <v>Apr</v>
      </c>
      <c r="N41" s="2" t="n">
        <f aca="false">MONTH(B41)</f>
        <v>4</v>
      </c>
    </row>
    <row r="42" customFormat="false" ht="15" hidden="false" customHeight="false" outlineLevel="0" collapsed="false">
      <c r="A42" s="2" t="s">
        <v>97</v>
      </c>
      <c r="B42" s="6" t="n">
        <v>45772</v>
      </c>
      <c r="C42" s="2" t="s">
        <v>19</v>
      </c>
      <c r="D42" s="2" t="s">
        <v>68</v>
      </c>
      <c r="E42" s="2" t="s">
        <v>65</v>
      </c>
      <c r="F42" s="2" t="s">
        <v>30</v>
      </c>
      <c r="G42" s="2" t="s">
        <v>91</v>
      </c>
      <c r="H42" s="2" t="s">
        <v>24</v>
      </c>
      <c r="I42" s="2" t="n">
        <v>12</v>
      </c>
      <c r="J42" s="7" t="n">
        <v>14500</v>
      </c>
      <c r="K42" s="8" t="n">
        <v>0</v>
      </c>
      <c r="L42" s="7" t="n">
        <f aca="false">I42*J42*(1-K42)</f>
        <v>174000</v>
      </c>
      <c r="M42" s="2" t="str">
        <f aca="false">TEXT(B42,"mmm")</f>
        <v>Apr</v>
      </c>
      <c r="N42" s="2" t="n">
        <f aca="false">MONTH(B42)</f>
        <v>4</v>
      </c>
    </row>
    <row r="43" customFormat="false" ht="15" hidden="false" customHeight="false" outlineLevel="0" collapsed="false">
      <c r="A43" s="2" t="s">
        <v>98</v>
      </c>
      <c r="B43" s="6" t="n">
        <v>45773</v>
      </c>
      <c r="C43" s="2" t="s">
        <v>19</v>
      </c>
      <c r="D43" s="2" t="s">
        <v>68</v>
      </c>
      <c r="E43" s="2" t="s">
        <v>14</v>
      </c>
      <c r="F43" s="2" t="s">
        <v>30</v>
      </c>
      <c r="G43" s="2" t="s">
        <v>66</v>
      </c>
      <c r="H43" s="2" t="s">
        <v>24</v>
      </c>
      <c r="I43" s="2" t="n">
        <v>25</v>
      </c>
      <c r="J43" s="7" t="n">
        <v>1800</v>
      </c>
      <c r="K43" s="8" t="n">
        <v>0</v>
      </c>
      <c r="L43" s="7" t="n">
        <f aca="false">I43*J43*(1-K43)</f>
        <v>45000</v>
      </c>
      <c r="M43" s="2" t="str">
        <f aca="false">TEXT(B43,"mmm")</f>
        <v>Apr</v>
      </c>
      <c r="N43" s="2" t="n">
        <f aca="false">MONTH(B43)</f>
        <v>4</v>
      </c>
    </row>
    <row r="44" customFormat="false" ht="15" hidden="false" customHeight="false" outlineLevel="0" collapsed="false">
      <c r="A44" s="2" t="s">
        <v>99</v>
      </c>
      <c r="B44" s="6" t="n">
        <v>45777</v>
      </c>
      <c r="C44" s="2" t="s">
        <v>40</v>
      </c>
      <c r="D44" s="2" t="s">
        <v>41</v>
      </c>
      <c r="E44" s="2" t="s">
        <v>34</v>
      </c>
      <c r="F44" s="2" t="s">
        <v>22</v>
      </c>
      <c r="G44" s="2" t="s">
        <v>23</v>
      </c>
      <c r="H44" s="2" t="s">
        <v>17</v>
      </c>
      <c r="I44" s="2" t="n">
        <v>22</v>
      </c>
      <c r="J44" s="7" t="n">
        <v>240</v>
      </c>
      <c r="K44" s="8" t="n">
        <v>0.1</v>
      </c>
      <c r="L44" s="7" t="n">
        <f aca="false">I44*J44*(1-K44)</f>
        <v>4752</v>
      </c>
      <c r="M44" s="2" t="str">
        <f aca="false">TEXT(B44,"mmm")</f>
        <v>Apr</v>
      </c>
      <c r="N44" s="2" t="n">
        <f aca="false">MONTH(B44)</f>
        <v>4</v>
      </c>
    </row>
    <row r="45" customFormat="false" ht="15" hidden="false" customHeight="false" outlineLevel="0" collapsed="false">
      <c r="A45" s="2" t="s">
        <v>100</v>
      </c>
      <c r="B45" s="6" t="n">
        <v>45778</v>
      </c>
      <c r="C45" s="2" t="s">
        <v>19</v>
      </c>
      <c r="D45" s="2" t="s">
        <v>33</v>
      </c>
      <c r="E45" s="2" t="s">
        <v>21</v>
      </c>
      <c r="F45" s="2" t="s">
        <v>22</v>
      </c>
      <c r="G45" s="2" t="s">
        <v>23</v>
      </c>
      <c r="H45" s="2" t="s">
        <v>17</v>
      </c>
      <c r="I45" s="2" t="n">
        <v>25</v>
      </c>
      <c r="J45" s="7" t="n">
        <v>240</v>
      </c>
      <c r="K45" s="8" t="n">
        <v>0</v>
      </c>
      <c r="L45" s="7" t="n">
        <f aca="false">I45*J45*(1-K45)</f>
        <v>6000</v>
      </c>
      <c r="M45" s="2" t="str">
        <f aca="false">TEXT(B45,"mmm")</f>
        <v>May</v>
      </c>
      <c r="N45" s="2" t="n">
        <f aca="false">MONTH(B45)</f>
        <v>5</v>
      </c>
    </row>
    <row r="46" customFormat="false" ht="15" hidden="false" customHeight="false" outlineLevel="0" collapsed="false">
      <c r="A46" s="2" t="s">
        <v>101</v>
      </c>
      <c r="B46" s="6" t="n">
        <v>45780</v>
      </c>
      <c r="C46" s="2" t="s">
        <v>40</v>
      </c>
      <c r="D46" s="2" t="s">
        <v>46</v>
      </c>
      <c r="E46" s="2" t="s">
        <v>44</v>
      </c>
      <c r="F46" s="2" t="s">
        <v>30</v>
      </c>
      <c r="G46" s="2" t="s">
        <v>31</v>
      </c>
      <c r="H46" s="2" t="s">
        <v>17</v>
      </c>
      <c r="I46" s="2" t="n">
        <v>10</v>
      </c>
      <c r="J46" s="7" t="n">
        <v>11999</v>
      </c>
      <c r="K46" s="8" t="n">
        <v>0.1</v>
      </c>
      <c r="L46" s="7" t="n">
        <f aca="false">I46*J46*(1-K46)</f>
        <v>107991</v>
      </c>
      <c r="M46" s="2" t="str">
        <f aca="false">TEXT(B46,"mmm")</f>
        <v>May</v>
      </c>
      <c r="N46" s="2" t="n">
        <f aca="false">MONTH(B46)</f>
        <v>5</v>
      </c>
    </row>
    <row r="47" customFormat="false" ht="15" hidden="false" customHeight="false" outlineLevel="0" collapsed="false">
      <c r="A47" s="2" t="s">
        <v>102</v>
      </c>
      <c r="B47" s="6" t="n">
        <v>45780</v>
      </c>
      <c r="C47" s="2" t="s">
        <v>12</v>
      </c>
      <c r="D47" s="2" t="s">
        <v>90</v>
      </c>
      <c r="E47" s="2" t="s">
        <v>14</v>
      </c>
      <c r="F47" s="2" t="s">
        <v>22</v>
      </c>
      <c r="G47" s="2" t="s">
        <v>23</v>
      </c>
      <c r="H47" s="2" t="s">
        <v>17</v>
      </c>
      <c r="I47" s="2" t="n">
        <v>23</v>
      </c>
      <c r="J47" s="7" t="n">
        <v>240</v>
      </c>
      <c r="K47" s="8" t="n">
        <v>0.05</v>
      </c>
      <c r="L47" s="7" t="n">
        <f aca="false">I47*J47*(1-K47)</f>
        <v>5244</v>
      </c>
      <c r="M47" s="2" t="str">
        <f aca="false">TEXT(B47,"mmm")</f>
        <v>May</v>
      </c>
      <c r="N47" s="2" t="n">
        <f aca="false">MONTH(B47)</f>
        <v>5</v>
      </c>
    </row>
    <row r="48" customFormat="false" ht="15" hidden="false" customHeight="false" outlineLevel="0" collapsed="false">
      <c r="A48" s="2" t="s">
        <v>104</v>
      </c>
      <c r="B48" s="6" t="n">
        <v>45781</v>
      </c>
      <c r="C48" s="2" t="s">
        <v>61</v>
      </c>
      <c r="D48" s="2" t="s">
        <v>78</v>
      </c>
      <c r="E48" s="2" t="s">
        <v>14</v>
      </c>
      <c r="F48" s="2" t="s">
        <v>30</v>
      </c>
      <c r="G48" s="2" t="s">
        <v>66</v>
      </c>
      <c r="H48" s="2" t="s">
        <v>27</v>
      </c>
      <c r="I48" s="2" t="n">
        <v>3</v>
      </c>
      <c r="J48" s="7" t="n">
        <v>1800</v>
      </c>
      <c r="K48" s="8" t="n">
        <v>0.1</v>
      </c>
      <c r="L48" s="7" t="n">
        <f aca="false">I48*J48*(1-K48)</f>
        <v>4860</v>
      </c>
      <c r="M48" s="2" t="str">
        <f aca="false">TEXT(B48,"mmm")</f>
        <v>May</v>
      </c>
      <c r="N48" s="2" t="n">
        <f aca="false">MONTH(B48)</f>
        <v>5</v>
      </c>
    </row>
    <row r="49" customFormat="false" ht="15" hidden="false" customHeight="false" outlineLevel="0" collapsed="false">
      <c r="A49" s="2" t="s">
        <v>105</v>
      </c>
      <c r="B49" s="6" t="n">
        <v>45782</v>
      </c>
      <c r="C49" s="2" t="s">
        <v>12</v>
      </c>
      <c r="D49" s="2" t="s">
        <v>13</v>
      </c>
      <c r="E49" s="2" t="s">
        <v>29</v>
      </c>
      <c r="F49" s="2" t="s">
        <v>56</v>
      </c>
      <c r="G49" s="2" t="s">
        <v>72</v>
      </c>
      <c r="H49" s="2" t="s">
        <v>24</v>
      </c>
      <c r="I49" s="2" t="n">
        <v>13</v>
      </c>
      <c r="J49" s="7" t="n">
        <v>1750</v>
      </c>
      <c r="K49" s="8" t="n">
        <v>0</v>
      </c>
      <c r="L49" s="7" t="n">
        <f aca="false">I49*J49*(1-K49)</f>
        <v>22750</v>
      </c>
      <c r="M49" s="2" t="str">
        <f aca="false">TEXT(B49,"mmm")</f>
        <v>May</v>
      </c>
      <c r="N49" s="2" t="n">
        <f aca="false">MONTH(B49)</f>
        <v>5</v>
      </c>
    </row>
    <row r="50" customFormat="false" ht="15" hidden="false" customHeight="false" outlineLevel="0" collapsed="false">
      <c r="A50" s="2" t="s">
        <v>106</v>
      </c>
      <c r="B50" s="6" t="n">
        <v>45784</v>
      </c>
      <c r="C50" s="2" t="s">
        <v>19</v>
      </c>
      <c r="D50" s="2" t="s">
        <v>20</v>
      </c>
      <c r="E50" s="2" t="s">
        <v>44</v>
      </c>
      <c r="F50" s="2" t="s">
        <v>56</v>
      </c>
      <c r="G50" s="2" t="s">
        <v>57</v>
      </c>
      <c r="H50" s="2" t="s">
        <v>24</v>
      </c>
      <c r="I50" s="2" t="n">
        <v>19</v>
      </c>
      <c r="J50" s="7" t="n">
        <v>2600</v>
      </c>
      <c r="K50" s="8" t="n">
        <v>0</v>
      </c>
      <c r="L50" s="7" t="n">
        <f aca="false">I50*J50*(1-K50)</f>
        <v>49400</v>
      </c>
      <c r="M50" s="2" t="str">
        <f aca="false">TEXT(B50,"mmm")</f>
        <v>May</v>
      </c>
      <c r="N50" s="2" t="n">
        <f aca="false">MONTH(B50)</f>
        <v>5</v>
      </c>
    </row>
    <row r="51" customFormat="false" ht="15" hidden="false" customHeight="false" outlineLevel="0" collapsed="false">
      <c r="A51" s="2" t="s">
        <v>107</v>
      </c>
      <c r="B51" s="6" t="n">
        <v>45793</v>
      </c>
      <c r="C51" s="2" t="s">
        <v>40</v>
      </c>
      <c r="D51" s="2" t="s">
        <v>41</v>
      </c>
      <c r="E51" s="2" t="s">
        <v>26</v>
      </c>
      <c r="F51" s="2" t="s">
        <v>15</v>
      </c>
      <c r="G51" s="2" t="s">
        <v>49</v>
      </c>
      <c r="H51" s="2" t="s">
        <v>24</v>
      </c>
      <c r="I51" s="2" t="n">
        <v>16</v>
      </c>
      <c r="J51" s="7" t="n">
        <v>4200</v>
      </c>
      <c r="K51" s="8" t="n">
        <v>0.05</v>
      </c>
      <c r="L51" s="7" t="n">
        <f aca="false">I51*J51*(1-K51)</f>
        <v>63840</v>
      </c>
      <c r="M51" s="2" t="str">
        <f aca="false">TEXT(B51,"mmm")</f>
        <v>May</v>
      </c>
      <c r="N51" s="2" t="n">
        <f aca="false">MONTH(B51)</f>
        <v>5</v>
      </c>
    </row>
    <row r="52" customFormat="false" ht="15" hidden="false" customHeight="false" outlineLevel="0" collapsed="false">
      <c r="A52" s="2" t="s">
        <v>108</v>
      </c>
      <c r="B52" s="6" t="n">
        <v>45793</v>
      </c>
      <c r="C52" s="2" t="s">
        <v>61</v>
      </c>
      <c r="D52" s="2" t="s">
        <v>38</v>
      </c>
      <c r="E52" s="2" t="s">
        <v>44</v>
      </c>
      <c r="F52" s="2" t="s">
        <v>22</v>
      </c>
      <c r="G52" s="2" t="s">
        <v>23</v>
      </c>
      <c r="H52" s="2" t="s">
        <v>17</v>
      </c>
      <c r="I52" s="2" t="n">
        <v>6</v>
      </c>
      <c r="J52" s="7" t="n">
        <v>240</v>
      </c>
      <c r="K52" s="8" t="n">
        <v>0.05</v>
      </c>
      <c r="L52" s="7" t="n">
        <f aca="false">I52*J52*(1-K52)</f>
        <v>1368</v>
      </c>
      <c r="M52" s="2" t="str">
        <f aca="false">TEXT(B52,"mmm")</f>
        <v>May</v>
      </c>
      <c r="N52" s="2" t="n">
        <f aca="false">MONTH(B52)</f>
        <v>5</v>
      </c>
    </row>
    <row r="53" customFormat="false" ht="15" hidden="false" customHeight="false" outlineLevel="0" collapsed="false">
      <c r="A53" s="2" t="s">
        <v>109</v>
      </c>
      <c r="B53" s="6" t="n">
        <v>45795</v>
      </c>
      <c r="C53" s="2" t="s">
        <v>40</v>
      </c>
      <c r="D53" s="2" t="s">
        <v>90</v>
      </c>
      <c r="E53" s="2" t="s">
        <v>26</v>
      </c>
      <c r="F53" s="2" t="s">
        <v>56</v>
      </c>
      <c r="G53" s="2" t="s">
        <v>79</v>
      </c>
      <c r="H53" s="2" t="s">
        <v>17</v>
      </c>
      <c r="I53" s="2" t="n">
        <v>19</v>
      </c>
      <c r="J53" s="7" t="n">
        <v>8900</v>
      </c>
      <c r="K53" s="8" t="n">
        <v>0</v>
      </c>
      <c r="L53" s="7" t="n">
        <f aca="false">I53*J53*(1-K53)</f>
        <v>169100</v>
      </c>
      <c r="M53" s="2" t="str">
        <f aca="false">TEXT(B53,"mmm")</f>
        <v>May</v>
      </c>
      <c r="N53" s="2" t="n">
        <f aca="false">MONTH(B53)</f>
        <v>5</v>
      </c>
    </row>
    <row r="54" customFormat="false" ht="15" hidden="false" customHeight="false" outlineLevel="0" collapsed="false">
      <c r="A54" s="2" t="s">
        <v>110</v>
      </c>
      <c r="B54" s="6" t="n">
        <v>45798</v>
      </c>
      <c r="C54" s="2" t="s">
        <v>61</v>
      </c>
      <c r="D54" s="2" t="s">
        <v>78</v>
      </c>
      <c r="E54" s="2" t="s">
        <v>34</v>
      </c>
      <c r="F54" s="2" t="s">
        <v>56</v>
      </c>
      <c r="G54" s="2" t="s">
        <v>79</v>
      </c>
      <c r="H54" s="2" t="s">
        <v>17</v>
      </c>
      <c r="I54" s="2" t="n">
        <v>8</v>
      </c>
      <c r="J54" s="7" t="n">
        <v>8900</v>
      </c>
      <c r="K54" s="8" t="n">
        <v>0</v>
      </c>
      <c r="L54" s="7" t="n">
        <f aca="false">I54*J54*(1-K54)</f>
        <v>71200</v>
      </c>
      <c r="M54" s="2" t="str">
        <f aca="false">TEXT(B54,"mmm")</f>
        <v>May</v>
      </c>
      <c r="N54" s="2" t="n">
        <f aca="false">MONTH(B54)</f>
        <v>5</v>
      </c>
    </row>
    <row r="55" customFormat="false" ht="15" hidden="false" customHeight="false" outlineLevel="0" collapsed="false">
      <c r="A55" s="2" t="s">
        <v>111</v>
      </c>
      <c r="B55" s="6" t="n">
        <v>45807</v>
      </c>
      <c r="C55" s="2" t="s">
        <v>19</v>
      </c>
      <c r="D55" s="2" t="s">
        <v>68</v>
      </c>
      <c r="E55" s="2" t="s">
        <v>21</v>
      </c>
      <c r="F55" s="2" t="s">
        <v>30</v>
      </c>
      <c r="G55" s="2" t="s">
        <v>66</v>
      </c>
      <c r="H55" s="2" t="s">
        <v>27</v>
      </c>
      <c r="I55" s="2" t="n">
        <v>16</v>
      </c>
      <c r="J55" s="7" t="n">
        <v>1800</v>
      </c>
      <c r="K55" s="8" t="n">
        <v>0.05</v>
      </c>
      <c r="L55" s="7" t="n">
        <f aca="false">I55*J55*(1-K55)</f>
        <v>27360</v>
      </c>
      <c r="M55" s="2" t="str">
        <f aca="false">TEXT(B55,"mmm")</f>
        <v>May</v>
      </c>
      <c r="N55" s="2" t="n">
        <f aca="false">MONTH(B55)</f>
        <v>5</v>
      </c>
    </row>
    <row r="56" customFormat="false" ht="15" hidden="false" customHeight="false" outlineLevel="0" collapsed="false">
      <c r="A56" s="2" t="s">
        <v>112</v>
      </c>
      <c r="B56" s="6" t="n">
        <v>45809</v>
      </c>
      <c r="C56" s="2" t="s">
        <v>40</v>
      </c>
      <c r="D56" s="2" t="s">
        <v>90</v>
      </c>
      <c r="E56" s="2" t="s">
        <v>53</v>
      </c>
      <c r="F56" s="2" t="s">
        <v>22</v>
      </c>
      <c r="G56" s="2" t="s">
        <v>23</v>
      </c>
      <c r="H56" s="2" t="s">
        <v>27</v>
      </c>
      <c r="I56" s="2" t="n">
        <v>7</v>
      </c>
      <c r="J56" s="7" t="n">
        <v>240</v>
      </c>
      <c r="K56" s="8" t="n">
        <v>0</v>
      </c>
      <c r="L56" s="7" t="n">
        <f aca="false">I56*J56*(1-K56)</f>
        <v>1680</v>
      </c>
      <c r="M56" s="2" t="str">
        <f aca="false">TEXT(B56,"mmm")</f>
        <v>Jun</v>
      </c>
      <c r="N56" s="2" t="n">
        <f aca="false">MONTH(B56)</f>
        <v>6</v>
      </c>
    </row>
    <row r="57" customFormat="false" ht="15" hidden="false" customHeight="false" outlineLevel="0" collapsed="false">
      <c r="A57" s="2" t="s">
        <v>113</v>
      </c>
      <c r="B57" s="6" t="n">
        <v>45813</v>
      </c>
      <c r="C57" s="2" t="s">
        <v>61</v>
      </c>
      <c r="D57" s="2" t="s">
        <v>62</v>
      </c>
      <c r="E57" s="2" t="s">
        <v>14</v>
      </c>
      <c r="F57" s="2" t="s">
        <v>30</v>
      </c>
      <c r="G57" s="2" t="s">
        <v>86</v>
      </c>
      <c r="H57" s="2" t="s">
        <v>27</v>
      </c>
      <c r="I57" s="2" t="n">
        <v>23</v>
      </c>
      <c r="J57" s="7" t="n">
        <v>42500</v>
      </c>
      <c r="K57" s="8" t="n">
        <v>0.1</v>
      </c>
      <c r="L57" s="7" t="n">
        <f aca="false">I57*J57*(1-K57)</f>
        <v>879750</v>
      </c>
      <c r="M57" s="2" t="str">
        <f aca="false">TEXT(B57,"mmm")</f>
        <v>Jun</v>
      </c>
      <c r="N57" s="2" t="n">
        <f aca="false">MONTH(B57)</f>
        <v>6</v>
      </c>
    </row>
    <row r="58" customFormat="false" ht="15" hidden="false" customHeight="false" outlineLevel="0" collapsed="false">
      <c r="A58" s="2" t="s">
        <v>114</v>
      </c>
      <c r="B58" s="6" t="n">
        <v>45813</v>
      </c>
      <c r="C58" s="2" t="s">
        <v>40</v>
      </c>
      <c r="D58" s="2" t="s">
        <v>46</v>
      </c>
      <c r="E58" s="2" t="s">
        <v>34</v>
      </c>
      <c r="F58" s="2" t="s">
        <v>15</v>
      </c>
      <c r="G58" s="2" t="s">
        <v>49</v>
      </c>
      <c r="H58" s="2" t="s">
        <v>17</v>
      </c>
      <c r="I58" s="2" t="n">
        <v>2</v>
      </c>
      <c r="J58" s="7" t="n">
        <v>4200</v>
      </c>
      <c r="K58" s="8" t="n">
        <v>0</v>
      </c>
      <c r="L58" s="7" t="n">
        <f aca="false">I58*J58*(1-K58)</f>
        <v>8400</v>
      </c>
      <c r="M58" s="2" t="str">
        <f aca="false">TEXT(B58,"mmm")</f>
        <v>Jun</v>
      </c>
      <c r="N58" s="2" t="n">
        <f aca="false">MONTH(B58)</f>
        <v>6</v>
      </c>
    </row>
    <row r="59" customFormat="false" ht="15" hidden="false" customHeight="false" outlineLevel="0" collapsed="false">
      <c r="A59" s="2" t="s">
        <v>115</v>
      </c>
      <c r="B59" s="6" t="n">
        <v>45814</v>
      </c>
      <c r="C59" s="2" t="s">
        <v>61</v>
      </c>
      <c r="D59" s="2" t="s">
        <v>38</v>
      </c>
      <c r="E59" s="2" t="s">
        <v>26</v>
      </c>
      <c r="F59" s="2" t="s">
        <v>56</v>
      </c>
      <c r="G59" s="2" t="s">
        <v>79</v>
      </c>
      <c r="H59" s="2" t="s">
        <v>27</v>
      </c>
      <c r="I59" s="2" t="n">
        <v>8</v>
      </c>
      <c r="J59" s="7" t="n">
        <v>8900</v>
      </c>
      <c r="K59" s="8" t="n">
        <v>0.1</v>
      </c>
      <c r="L59" s="7" t="n">
        <f aca="false">I59*J59*(1-K59)</f>
        <v>64080</v>
      </c>
      <c r="M59" s="2" t="str">
        <f aca="false">TEXT(B59,"mmm")</f>
        <v>Jun</v>
      </c>
      <c r="N59" s="2" t="n">
        <f aca="false">MONTH(B59)</f>
        <v>6</v>
      </c>
    </row>
    <row r="60" customFormat="false" ht="15" hidden="false" customHeight="false" outlineLevel="0" collapsed="false">
      <c r="A60" s="2" t="s">
        <v>116</v>
      </c>
      <c r="B60" s="6" t="n">
        <v>45818</v>
      </c>
      <c r="C60" s="2" t="s">
        <v>61</v>
      </c>
      <c r="D60" s="2" t="s">
        <v>38</v>
      </c>
      <c r="E60" s="2" t="s">
        <v>44</v>
      </c>
      <c r="F60" s="2" t="s">
        <v>30</v>
      </c>
      <c r="G60" s="2" t="s">
        <v>91</v>
      </c>
      <c r="H60" s="2" t="s">
        <v>17</v>
      </c>
      <c r="I60" s="2" t="n">
        <v>24</v>
      </c>
      <c r="J60" s="7" t="n">
        <v>14500</v>
      </c>
      <c r="K60" s="8" t="n">
        <v>0.1</v>
      </c>
      <c r="L60" s="7" t="n">
        <f aca="false">I60*J60*(1-K60)</f>
        <v>313200</v>
      </c>
      <c r="M60" s="2" t="str">
        <f aca="false">TEXT(B60,"mmm")</f>
        <v>Jun</v>
      </c>
      <c r="N60" s="2" t="n">
        <f aca="false">MONTH(B60)</f>
        <v>6</v>
      </c>
    </row>
    <row r="61" customFormat="false" ht="15" hidden="false" customHeight="false" outlineLevel="0" collapsed="false">
      <c r="A61" s="2" t="s">
        <v>117</v>
      </c>
      <c r="B61" s="6" t="n">
        <v>45823</v>
      </c>
      <c r="C61" s="2" t="s">
        <v>40</v>
      </c>
      <c r="D61" s="2" t="s">
        <v>90</v>
      </c>
      <c r="E61" s="2" t="s">
        <v>21</v>
      </c>
      <c r="F61" s="2" t="s">
        <v>30</v>
      </c>
      <c r="G61" s="2" t="s">
        <v>91</v>
      </c>
      <c r="H61" s="2" t="s">
        <v>17</v>
      </c>
      <c r="I61" s="2" t="n">
        <v>14</v>
      </c>
      <c r="J61" s="7" t="n">
        <v>14500</v>
      </c>
      <c r="K61" s="8" t="n">
        <v>0</v>
      </c>
      <c r="L61" s="7" t="n">
        <f aca="false">I61*J61*(1-K61)</f>
        <v>203000</v>
      </c>
      <c r="M61" s="2" t="str">
        <f aca="false">TEXT(B61,"mmm")</f>
        <v>Jun</v>
      </c>
      <c r="N61" s="2" t="n">
        <f aca="false">MONTH(B61)</f>
        <v>6</v>
      </c>
    </row>
    <row r="62" customFormat="false" ht="15" hidden="false" customHeight="false" outlineLevel="0" collapsed="false">
      <c r="A62" s="2" t="s">
        <v>118</v>
      </c>
      <c r="B62" s="6" t="n">
        <v>45824</v>
      </c>
      <c r="C62" s="2" t="s">
        <v>40</v>
      </c>
      <c r="D62" s="2" t="s">
        <v>46</v>
      </c>
      <c r="E62" s="2" t="s">
        <v>44</v>
      </c>
      <c r="F62" s="2" t="s">
        <v>22</v>
      </c>
      <c r="G62" s="2" t="s">
        <v>23</v>
      </c>
      <c r="H62" s="2" t="s">
        <v>27</v>
      </c>
      <c r="I62" s="2" t="n">
        <v>2</v>
      </c>
      <c r="J62" s="7" t="n">
        <v>240</v>
      </c>
      <c r="K62" s="8" t="n">
        <v>0</v>
      </c>
      <c r="L62" s="7" t="n">
        <f aca="false">I62*J62*(1-K62)</f>
        <v>480</v>
      </c>
      <c r="M62" s="2" t="str">
        <f aca="false">TEXT(B62,"mmm")</f>
        <v>Jun</v>
      </c>
      <c r="N62" s="2" t="n">
        <f aca="false">MONTH(B62)</f>
        <v>6</v>
      </c>
    </row>
    <row r="63" customFormat="false" ht="15" hidden="false" customHeight="false" outlineLevel="0" collapsed="false">
      <c r="A63" s="2" t="s">
        <v>119</v>
      </c>
      <c r="B63" s="6" t="n">
        <v>45825</v>
      </c>
      <c r="C63" s="2" t="s">
        <v>19</v>
      </c>
      <c r="D63" s="2" t="s">
        <v>33</v>
      </c>
      <c r="E63" s="2" t="s">
        <v>14</v>
      </c>
      <c r="F63" s="2" t="s">
        <v>22</v>
      </c>
      <c r="G63" s="2" t="s">
        <v>35</v>
      </c>
      <c r="H63" s="2" t="s">
        <v>24</v>
      </c>
      <c r="I63" s="2" t="n">
        <v>14</v>
      </c>
      <c r="J63" s="7" t="n">
        <v>320</v>
      </c>
      <c r="K63" s="8" t="n">
        <v>0</v>
      </c>
      <c r="L63" s="7" t="n">
        <f aca="false">I63*J63*(1-K63)</f>
        <v>4480</v>
      </c>
      <c r="M63" s="2" t="str">
        <f aca="false">TEXT(B63,"mmm")</f>
        <v>Jun</v>
      </c>
      <c r="N63" s="2" t="n">
        <f aca="false">MONTH(B63)</f>
        <v>6</v>
      </c>
    </row>
    <row r="64" customFormat="false" ht="15" hidden="false" customHeight="false" outlineLevel="0" collapsed="false">
      <c r="A64" s="2" t="s">
        <v>120</v>
      </c>
      <c r="B64" s="6" t="n">
        <v>45826</v>
      </c>
      <c r="C64" s="2" t="s">
        <v>12</v>
      </c>
      <c r="D64" s="2" t="s">
        <v>81</v>
      </c>
      <c r="E64" s="2" t="s">
        <v>21</v>
      </c>
      <c r="F64" s="2" t="s">
        <v>30</v>
      </c>
      <c r="G64" s="2" t="s">
        <v>66</v>
      </c>
      <c r="H64" s="2" t="s">
        <v>17</v>
      </c>
      <c r="I64" s="2" t="n">
        <v>13</v>
      </c>
      <c r="J64" s="7" t="n">
        <v>1800</v>
      </c>
      <c r="K64" s="8" t="n">
        <v>0</v>
      </c>
      <c r="L64" s="7" t="n">
        <f aca="false">I64*J64*(1-K64)</f>
        <v>23400</v>
      </c>
      <c r="M64" s="2" t="str">
        <f aca="false">TEXT(B64,"mmm")</f>
        <v>Jun</v>
      </c>
      <c r="N64" s="2" t="n">
        <f aca="false">MONTH(B64)</f>
        <v>6</v>
      </c>
    </row>
    <row r="65" customFormat="false" ht="15" hidden="false" customHeight="false" outlineLevel="0" collapsed="false">
      <c r="A65" s="2" t="s">
        <v>121</v>
      </c>
      <c r="B65" s="6" t="n">
        <v>45827</v>
      </c>
      <c r="C65" s="2" t="s">
        <v>61</v>
      </c>
      <c r="D65" s="2" t="s">
        <v>78</v>
      </c>
      <c r="E65" s="2" t="s">
        <v>44</v>
      </c>
      <c r="F65" s="2" t="s">
        <v>56</v>
      </c>
      <c r="G65" s="2" t="s">
        <v>79</v>
      </c>
      <c r="H65" s="2" t="s">
        <v>17</v>
      </c>
      <c r="I65" s="2" t="n">
        <v>18</v>
      </c>
      <c r="J65" s="7" t="n">
        <v>8900</v>
      </c>
      <c r="K65" s="8" t="n">
        <v>0</v>
      </c>
      <c r="L65" s="7" t="n">
        <f aca="false">I65*J65*(1-K65)</f>
        <v>160200</v>
      </c>
      <c r="M65" s="2" t="str">
        <f aca="false">TEXT(B65,"mmm")</f>
        <v>Jun</v>
      </c>
      <c r="N65" s="2" t="n">
        <f aca="false">MONTH(B65)</f>
        <v>6</v>
      </c>
    </row>
    <row r="66" customFormat="false" ht="15" hidden="false" customHeight="false" outlineLevel="0" collapsed="false">
      <c r="A66" s="2" t="s">
        <v>122</v>
      </c>
      <c r="B66" s="6" t="n">
        <v>45830</v>
      </c>
      <c r="C66" s="2" t="s">
        <v>40</v>
      </c>
      <c r="D66" s="2" t="s">
        <v>90</v>
      </c>
      <c r="E66" s="2" t="s">
        <v>65</v>
      </c>
      <c r="F66" s="2" t="s">
        <v>22</v>
      </c>
      <c r="G66" s="2" t="s">
        <v>23</v>
      </c>
      <c r="H66" s="2" t="s">
        <v>17</v>
      </c>
      <c r="I66" s="2" t="n">
        <v>7</v>
      </c>
      <c r="J66" s="7" t="n">
        <v>240</v>
      </c>
      <c r="K66" s="8" t="n">
        <v>0.05</v>
      </c>
      <c r="L66" s="7" t="n">
        <f aca="false">I66*J66*(1-K66)</f>
        <v>1596</v>
      </c>
      <c r="M66" s="2" t="str">
        <f aca="false">TEXT(B66,"mmm")</f>
        <v>Jun</v>
      </c>
      <c r="N66" s="2" t="n">
        <f aca="false">MONTH(B66)</f>
        <v>6</v>
      </c>
    </row>
    <row r="67" customFormat="false" ht="15" hidden="false" customHeight="false" outlineLevel="0" collapsed="false">
      <c r="A67" s="2" t="s">
        <v>123</v>
      </c>
      <c r="B67" s="6" t="n">
        <v>45833</v>
      </c>
      <c r="C67" s="2" t="s">
        <v>12</v>
      </c>
      <c r="D67" s="2" t="s">
        <v>51</v>
      </c>
      <c r="E67" s="2" t="s">
        <v>53</v>
      </c>
      <c r="F67" s="2" t="s">
        <v>22</v>
      </c>
      <c r="G67" s="2" t="s">
        <v>35</v>
      </c>
      <c r="H67" s="2" t="s">
        <v>24</v>
      </c>
      <c r="I67" s="2" t="n">
        <v>7</v>
      </c>
      <c r="J67" s="7" t="n">
        <v>320</v>
      </c>
      <c r="K67" s="8" t="n">
        <v>0</v>
      </c>
      <c r="L67" s="7" t="n">
        <f aca="false">I67*J67*(1-K67)</f>
        <v>2240</v>
      </c>
      <c r="M67" s="2" t="str">
        <f aca="false">TEXT(B67,"mmm")</f>
        <v>Jun</v>
      </c>
      <c r="N67" s="2" t="n">
        <f aca="false">MONTH(B67)</f>
        <v>6</v>
      </c>
    </row>
    <row r="68" customFormat="false" ht="15" hidden="false" customHeight="false" outlineLevel="0" collapsed="false">
      <c r="A68" s="2" t="s">
        <v>124</v>
      </c>
      <c r="B68" s="6" t="n">
        <v>45839</v>
      </c>
      <c r="C68" s="2" t="s">
        <v>40</v>
      </c>
      <c r="D68" s="2" t="s">
        <v>90</v>
      </c>
      <c r="E68" s="2" t="s">
        <v>21</v>
      </c>
      <c r="F68" s="2" t="s">
        <v>15</v>
      </c>
      <c r="G68" s="2" t="s">
        <v>16</v>
      </c>
      <c r="H68" s="2" t="s">
        <v>27</v>
      </c>
      <c r="I68" s="2" t="n">
        <v>7</v>
      </c>
      <c r="J68" s="7" t="n">
        <v>6500</v>
      </c>
      <c r="K68" s="8" t="n">
        <v>0</v>
      </c>
      <c r="L68" s="7" t="n">
        <f aca="false">I68*J68*(1-K68)</f>
        <v>45500</v>
      </c>
      <c r="M68" s="2" t="str">
        <f aca="false">TEXT(B68,"mmm")</f>
        <v>Jul</v>
      </c>
      <c r="N68" s="2" t="n">
        <f aca="false">MONTH(B68)</f>
        <v>7</v>
      </c>
    </row>
    <row r="69" customFormat="false" ht="15" hidden="false" customHeight="false" outlineLevel="0" collapsed="false">
      <c r="A69" s="2" t="s">
        <v>125</v>
      </c>
      <c r="B69" s="6" t="n">
        <v>45843</v>
      </c>
      <c r="C69" s="2" t="s">
        <v>40</v>
      </c>
      <c r="D69" s="2" t="s">
        <v>46</v>
      </c>
      <c r="E69" s="2" t="s">
        <v>53</v>
      </c>
      <c r="F69" s="2" t="s">
        <v>22</v>
      </c>
      <c r="G69" s="2" t="s">
        <v>35</v>
      </c>
      <c r="H69" s="2" t="s">
        <v>24</v>
      </c>
      <c r="I69" s="2" t="n">
        <v>20</v>
      </c>
      <c r="J69" s="7" t="n">
        <v>320</v>
      </c>
      <c r="K69" s="8" t="n">
        <v>0</v>
      </c>
      <c r="L69" s="7" t="n">
        <f aca="false">I69*J69*(1-K69)</f>
        <v>6400</v>
      </c>
      <c r="M69" s="2" t="str">
        <f aca="false">TEXT(B69,"mmm")</f>
        <v>Jul</v>
      </c>
      <c r="N69" s="2" t="n">
        <f aca="false">MONTH(B69)</f>
        <v>7</v>
      </c>
    </row>
    <row r="70" customFormat="false" ht="15" hidden="false" customHeight="false" outlineLevel="0" collapsed="false">
      <c r="A70" s="2" t="s">
        <v>126</v>
      </c>
      <c r="B70" s="6" t="n">
        <v>45843</v>
      </c>
      <c r="C70" s="2" t="s">
        <v>19</v>
      </c>
      <c r="D70" s="2" t="s">
        <v>70</v>
      </c>
      <c r="E70" s="2" t="s">
        <v>65</v>
      </c>
      <c r="F70" s="2" t="s">
        <v>56</v>
      </c>
      <c r="G70" s="2" t="s">
        <v>72</v>
      </c>
      <c r="H70" s="2" t="s">
        <v>27</v>
      </c>
      <c r="I70" s="2" t="n">
        <v>25</v>
      </c>
      <c r="J70" s="7" t="n">
        <v>1750</v>
      </c>
      <c r="K70" s="8" t="n">
        <v>0.1</v>
      </c>
      <c r="L70" s="7" t="n">
        <f aca="false">I70*J70*(1-K70)</f>
        <v>39375</v>
      </c>
      <c r="M70" s="2" t="str">
        <f aca="false">TEXT(B70,"mmm")</f>
        <v>Jul</v>
      </c>
      <c r="N70" s="2" t="n">
        <f aca="false">MONTH(B70)</f>
        <v>7</v>
      </c>
    </row>
    <row r="71" customFormat="false" ht="15" hidden="false" customHeight="false" outlineLevel="0" collapsed="false">
      <c r="A71" s="2" t="s">
        <v>127</v>
      </c>
      <c r="B71" s="6" t="n">
        <v>45846</v>
      </c>
      <c r="C71" s="2" t="s">
        <v>19</v>
      </c>
      <c r="D71" s="2" t="s">
        <v>20</v>
      </c>
      <c r="E71" s="2" t="s">
        <v>29</v>
      </c>
      <c r="F71" s="2" t="s">
        <v>56</v>
      </c>
      <c r="G71" s="2" t="s">
        <v>79</v>
      </c>
      <c r="H71" s="2" t="s">
        <v>24</v>
      </c>
      <c r="I71" s="2" t="n">
        <v>9</v>
      </c>
      <c r="J71" s="7" t="n">
        <v>8900</v>
      </c>
      <c r="K71" s="8" t="n">
        <v>0.1</v>
      </c>
      <c r="L71" s="7" t="n">
        <f aca="false">I71*J71*(1-K71)</f>
        <v>72090</v>
      </c>
      <c r="M71" s="2" t="str">
        <f aca="false">TEXT(B71,"mmm")</f>
        <v>Jul</v>
      </c>
      <c r="N71" s="2" t="n">
        <f aca="false">MONTH(B71)</f>
        <v>7</v>
      </c>
    </row>
    <row r="72" customFormat="false" ht="15" hidden="false" customHeight="false" outlineLevel="0" collapsed="false">
      <c r="A72" s="2" t="s">
        <v>128</v>
      </c>
      <c r="B72" s="6" t="n">
        <v>45847</v>
      </c>
      <c r="C72" s="2" t="s">
        <v>19</v>
      </c>
      <c r="D72" s="2" t="s">
        <v>70</v>
      </c>
      <c r="E72" s="2" t="s">
        <v>29</v>
      </c>
      <c r="F72" s="2" t="s">
        <v>15</v>
      </c>
      <c r="G72" s="2" t="s">
        <v>42</v>
      </c>
      <c r="H72" s="2" t="s">
        <v>27</v>
      </c>
      <c r="I72" s="2" t="n">
        <v>2</v>
      </c>
      <c r="J72" s="7" t="n">
        <v>3800</v>
      </c>
      <c r="K72" s="8" t="n">
        <v>0</v>
      </c>
      <c r="L72" s="7" t="n">
        <f aca="false">I72*J72*(1-K72)</f>
        <v>7600</v>
      </c>
      <c r="M72" s="2" t="str">
        <f aca="false">TEXT(B72,"mmm")</f>
        <v>Jul</v>
      </c>
      <c r="N72" s="2" t="n">
        <f aca="false">MONTH(B72)</f>
        <v>7</v>
      </c>
    </row>
    <row r="73" customFormat="false" ht="15" hidden="false" customHeight="false" outlineLevel="0" collapsed="false">
      <c r="A73" s="2" t="s">
        <v>129</v>
      </c>
      <c r="B73" s="6" t="n">
        <v>45847</v>
      </c>
      <c r="C73" s="2" t="s">
        <v>12</v>
      </c>
      <c r="D73" s="2" t="s">
        <v>13</v>
      </c>
      <c r="E73" s="2" t="s">
        <v>14</v>
      </c>
      <c r="F73" s="2" t="s">
        <v>15</v>
      </c>
      <c r="G73" s="2" t="s">
        <v>16</v>
      </c>
      <c r="H73" s="2" t="s">
        <v>24</v>
      </c>
      <c r="I73" s="2" t="n">
        <v>15</v>
      </c>
      <c r="J73" s="7" t="n">
        <v>6500</v>
      </c>
      <c r="K73" s="8" t="n">
        <v>0</v>
      </c>
      <c r="L73" s="7" t="n">
        <f aca="false">I73*J73*(1-K73)</f>
        <v>97500</v>
      </c>
      <c r="M73" s="2" t="str">
        <f aca="false">TEXT(B73,"mmm")</f>
        <v>Jul</v>
      </c>
      <c r="N73" s="2" t="n">
        <f aca="false">MONTH(B73)</f>
        <v>7</v>
      </c>
    </row>
    <row r="74" customFormat="false" ht="15" hidden="false" customHeight="false" outlineLevel="0" collapsed="false">
      <c r="A74" s="2" t="s">
        <v>130</v>
      </c>
      <c r="B74" s="6" t="n">
        <v>45848</v>
      </c>
      <c r="C74" s="2" t="s">
        <v>19</v>
      </c>
      <c r="D74" s="2" t="s">
        <v>70</v>
      </c>
      <c r="E74" s="2" t="s">
        <v>29</v>
      </c>
      <c r="F74" s="2" t="s">
        <v>56</v>
      </c>
      <c r="G74" s="2" t="s">
        <v>57</v>
      </c>
      <c r="H74" s="2" t="s">
        <v>24</v>
      </c>
      <c r="I74" s="2" t="n">
        <v>24</v>
      </c>
      <c r="J74" s="7" t="n">
        <v>2600</v>
      </c>
      <c r="K74" s="8" t="n">
        <v>0</v>
      </c>
      <c r="L74" s="7" t="n">
        <f aca="false">I74*J74*(1-K74)</f>
        <v>62400</v>
      </c>
      <c r="M74" s="2" t="str">
        <f aca="false">TEXT(B74,"mmm")</f>
        <v>Jul</v>
      </c>
      <c r="N74" s="2" t="n">
        <f aca="false">MONTH(B74)</f>
        <v>7</v>
      </c>
    </row>
    <row r="75" customFormat="false" ht="15" hidden="false" customHeight="false" outlineLevel="0" collapsed="false">
      <c r="A75" s="2" t="s">
        <v>131</v>
      </c>
      <c r="B75" s="6" t="n">
        <v>45852</v>
      </c>
      <c r="C75" s="2" t="s">
        <v>12</v>
      </c>
      <c r="D75" s="2" t="s">
        <v>13</v>
      </c>
      <c r="E75" s="2" t="s">
        <v>21</v>
      </c>
      <c r="F75" s="2" t="s">
        <v>15</v>
      </c>
      <c r="G75" s="2" t="s">
        <v>49</v>
      </c>
      <c r="H75" s="2" t="s">
        <v>24</v>
      </c>
      <c r="I75" s="2" t="n">
        <v>15</v>
      </c>
      <c r="J75" s="7" t="n">
        <v>4200</v>
      </c>
      <c r="K75" s="8" t="n">
        <v>0.1</v>
      </c>
      <c r="L75" s="7" t="n">
        <f aca="false">I75*J75*(1-K75)</f>
        <v>56700</v>
      </c>
      <c r="M75" s="2" t="str">
        <f aca="false">TEXT(B75,"mmm")</f>
        <v>Jul</v>
      </c>
      <c r="N75" s="2" t="n">
        <f aca="false">MONTH(B75)</f>
        <v>7</v>
      </c>
    </row>
    <row r="76" customFormat="false" ht="15" hidden="false" customHeight="false" outlineLevel="0" collapsed="false">
      <c r="A76" s="2" t="s">
        <v>132</v>
      </c>
      <c r="B76" s="6" t="n">
        <v>45852</v>
      </c>
      <c r="C76" s="2" t="s">
        <v>61</v>
      </c>
      <c r="D76" s="2" t="s">
        <v>38</v>
      </c>
      <c r="E76" s="2" t="s">
        <v>21</v>
      </c>
      <c r="F76" s="2" t="s">
        <v>56</v>
      </c>
      <c r="G76" s="2" t="s">
        <v>72</v>
      </c>
      <c r="H76" s="2" t="s">
        <v>27</v>
      </c>
      <c r="I76" s="2" t="n">
        <v>11</v>
      </c>
      <c r="J76" s="7" t="n">
        <v>1750</v>
      </c>
      <c r="K76" s="8" t="n">
        <v>0</v>
      </c>
      <c r="L76" s="7" t="n">
        <f aca="false">I76*J76*(1-K76)</f>
        <v>19250</v>
      </c>
      <c r="M76" s="2" t="str">
        <f aca="false">TEXT(B76,"mmm")</f>
        <v>Jul</v>
      </c>
      <c r="N76" s="2" t="n">
        <f aca="false">MONTH(B76)</f>
        <v>7</v>
      </c>
    </row>
    <row r="77" customFormat="false" ht="15" hidden="false" customHeight="false" outlineLevel="0" collapsed="false">
      <c r="A77" s="2" t="s">
        <v>133</v>
      </c>
      <c r="B77" s="6" t="n">
        <v>45853</v>
      </c>
      <c r="C77" s="2" t="s">
        <v>12</v>
      </c>
      <c r="D77" s="2" t="s">
        <v>51</v>
      </c>
      <c r="E77" s="2" t="s">
        <v>26</v>
      </c>
      <c r="F77" s="2" t="s">
        <v>56</v>
      </c>
      <c r="G77" s="2" t="s">
        <v>57</v>
      </c>
      <c r="H77" s="2" t="s">
        <v>24</v>
      </c>
      <c r="I77" s="2" t="n">
        <v>8</v>
      </c>
      <c r="J77" s="7" t="n">
        <v>2600</v>
      </c>
      <c r="K77" s="8" t="n">
        <v>0</v>
      </c>
      <c r="L77" s="7" t="n">
        <f aca="false">I77*J77*(1-K77)</f>
        <v>20800</v>
      </c>
      <c r="M77" s="2" t="str">
        <f aca="false">TEXT(B77,"mmm")</f>
        <v>Jul</v>
      </c>
      <c r="N77" s="2" t="n">
        <f aca="false">MONTH(B77)</f>
        <v>7</v>
      </c>
    </row>
    <row r="78" customFormat="false" ht="15" hidden="false" customHeight="false" outlineLevel="0" collapsed="false">
      <c r="A78" s="2" t="s">
        <v>134</v>
      </c>
      <c r="B78" s="6" t="n">
        <v>45854</v>
      </c>
      <c r="C78" s="2" t="s">
        <v>40</v>
      </c>
      <c r="D78" s="2" t="s">
        <v>46</v>
      </c>
      <c r="E78" s="2" t="s">
        <v>53</v>
      </c>
      <c r="F78" s="2" t="s">
        <v>56</v>
      </c>
      <c r="G78" s="2" t="s">
        <v>79</v>
      </c>
      <c r="H78" s="2" t="s">
        <v>24</v>
      </c>
      <c r="I78" s="2" t="n">
        <v>5</v>
      </c>
      <c r="J78" s="7" t="n">
        <v>8900</v>
      </c>
      <c r="K78" s="8" t="n">
        <v>0.1</v>
      </c>
      <c r="L78" s="7" t="n">
        <f aca="false">I78*J78*(1-K78)</f>
        <v>40050</v>
      </c>
      <c r="M78" s="2" t="str">
        <f aca="false">TEXT(B78,"mmm")</f>
        <v>Jul</v>
      </c>
      <c r="N78" s="2" t="n">
        <f aca="false">MONTH(B78)</f>
        <v>7</v>
      </c>
    </row>
    <row r="79" customFormat="false" ht="15" hidden="false" customHeight="false" outlineLevel="0" collapsed="false">
      <c r="A79" s="2" t="s">
        <v>135</v>
      </c>
      <c r="B79" s="6" t="n">
        <v>45855</v>
      </c>
      <c r="C79" s="2" t="s">
        <v>19</v>
      </c>
      <c r="D79" s="2" t="s">
        <v>33</v>
      </c>
      <c r="E79" s="2" t="s">
        <v>29</v>
      </c>
      <c r="F79" s="2" t="s">
        <v>56</v>
      </c>
      <c r="G79" s="2" t="s">
        <v>79</v>
      </c>
      <c r="H79" s="2" t="s">
        <v>27</v>
      </c>
      <c r="I79" s="2" t="n">
        <v>13</v>
      </c>
      <c r="J79" s="7" t="n">
        <v>8900</v>
      </c>
      <c r="K79" s="8" t="n">
        <v>0</v>
      </c>
      <c r="L79" s="7" t="n">
        <f aca="false">I79*J79*(1-K79)</f>
        <v>115700</v>
      </c>
      <c r="M79" s="2" t="str">
        <f aca="false">TEXT(B79,"mmm")</f>
        <v>Jul</v>
      </c>
      <c r="N79" s="2" t="n">
        <f aca="false">MONTH(B79)</f>
        <v>7</v>
      </c>
    </row>
    <row r="80" customFormat="false" ht="15" hidden="false" customHeight="false" outlineLevel="0" collapsed="false">
      <c r="A80" s="2" t="s">
        <v>136</v>
      </c>
      <c r="B80" s="6" t="n">
        <v>45857</v>
      </c>
      <c r="C80" s="2" t="s">
        <v>40</v>
      </c>
      <c r="D80" s="2" t="s">
        <v>90</v>
      </c>
      <c r="E80" s="2" t="s">
        <v>44</v>
      </c>
      <c r="F80" s="2" t="s">
        <v>30</v>
      </c>
      <c r="G80" s="2" t="s">
        <v>66</v>
      </c>
      <c r="H80" s="2" t="s">
        <v>24</v>
      </c>
      <c r="I80" s="2" t="n">
        <v>14</v>
      </c>
      <c r="J80" s="7" t="n">
        <v>1800</v>
      </c>
      <c r="K80" s="8" t="n">
        <v>0.05</v>
      </c>
      <c r="L80" s="7" t="n">
        <f aca="false">I80*J80*(1-K80)</f>
        <v>23940</v>
      </c>
      <c r="M80" s="2" t="str">
        <f aca="false">TEXT(B80,"mmm")</f>
        <v>Jul</v>
      </c>
      <c r="N80" s="2" t="n">
        <f aca="false">MONTH(B80)</f>
        <v>7</v>
      </c>
    </row>
    <row r="81" customFormat="false" ht="15" hidden="false" customHeight="false" outlineLevel="0" collapsed="false">
      <c r="A81" s="2" t="s">
        <v>137</v>
      </c>
      <c r="B81" s="6" t="n">
        <v>45857</v>
      </c>
      <c r="C81" s="2" t="s">
        <v>40</v>
      </c>
      <c r="D81" s="2" t="s">
        <v>46</v>
      </c>
      <c r="E81" s="2" t="s">
        <v>14</v>
      </c>
      <c r="F81" s="2" t="s">
        <v>22</v>
      </c>
      <c r="G81" s="2" t="s">
        <v>47</v>
      </c>
      <c r="H81" s="2" t="s">
        <v>24</v>
      </c>
      <c r="I81" s="2" t="n">
        <v>25</v>
      </c>
      <c r="J81" s="7" t="n">
        <v>120</v>
      </c>
      <c r="K81" s="8" t="n">
        <v>0.1</v>
      </c>
      <c r="L81" s="7" t="n">
        <f aca="false">I81*J81*(1-K81)</f>
        <v>2700</v>
      </c>
      <c r="M81" s="2" t="str">
        <f aca="false">TEXT(B81,"mmm")</f>
        <v>Jul</v>
      </c>
      <c r="N81" s="2" t="n">
        <f aca="false">MONTH(B81)</f>
        <v>7</v>
      </c>
    </row>
    <row r="82" customFormat="false" ht="15" hidden="false" customHeight="false" outlineLevel="0" collapsed="false">
      <c r="A82" s="2" t="s">
        <v>138</v>
      </c>
      <c r="B82" s="6" t="n">
        <v>45863</v>
      </c>
      <c r="C82" s="2" t="s">
        <v>12</v>
      </c>
      <c r="D82" s="2" t="s">
        <v>51</v>
      </c>
      <c r="E82" s="2" t="s">
        <v>44</v>
      </c>
      <c r="F82" s="2" t="s">
        <v>56</v>
      </c>
      <c r="G82" s="2" t="s">
        <v>72</v>
      </c>
      <c r="H82" s="2" t="s">
        <v>17</v>
      </c>
      <c r="I82" s="2" t="n">
        <v>7</v>
      </c>
      <c r="J82" s="7" t="n">
        <v>1750</v>
      </c>
      <c r="K82" s="8" t="n">
        <v>0.05</v>
      </c>
      <c r="L82" s="7" t="n">
        <f aca="false">I82*J82*(1-K82)</f>
        <v>11637.5</v>
      </c>
      <c r="M82" s="2" t="str">
        <f aca="false">TEXT(B82,"mmm")</f>
        <v>Jul</v>
      </c>
      <c r="N82" s="2" t="n">
        <f aca="false">MONTH(B82)</f>
        <v>7</v>
      </c>
    </row>
    <row r="83" customFormat="false" ht="15" hidden="false" customHeight="false" outlineLevel="0" collapsed="false">
      <c r="A83" s="2" t="s">
        <v>139</v>
      </c>
      <c r="B83" s="6" t="n">
        <v>45863</v>
      </c>
      <c r="C83" s="2" t="s">
        <v>19</v>
      </c>
      <c r="D83" s="2" t="s">
        <v>33</v>
      </c>
      <c r="E83" s="2" t="s">
        <v>34</v>
      </c>
      <c r="F83" s="2" t="s">
        <v>56</v>
      </c>
      <c r="G83" s="2" t="s">
        <v>57</v>
      </c>
      <c r="H83" s="2" t="s">
        <v>17</v>
      </c>
      <c r="I83" s="2" t="n">
        <v>3</v>
      </c>
      <c r="J83" s="7" t="n">
        <v>2600</v>
      </c>
      <c r="K83" s="8" t="n">
        <v>0.1</v>
      </c>
      <c r="L83" s="7" t="n">
        <f aca="false">I83*J83*(1-K83)</f>
        <v>7020</v>
      </c>
      <c r="M83" s="2" t="str">
        <f aca="false">TEXT(B83,"mmm")</f>
        <v>Jul</v>
      </c>
      <c r="N83" s="2" t="n">
        <f aca="false">MONTH(B83)</f>
        <v>7</v>
      </c>
    </row>
    <row r="84" customFormat="false" ht="15" hidden="false" customHeight="false" outlineLevel="0" collapsed="false">
      <c r="A84" s="2" t="s">
        <v>140</v>
      </c>
      <c r="B84" s="6" t="n">
        <v>45864</v>
      </c>
      <c r="C84" s="2" t="s">
        <v>40</v>
      </c>
      <c r="D84" s="2" t="s">
        <v>41</v>
      </c>
      <c r="E84" s="2" t="s">
        <v>26</v>
      </c>
      <c r="F84" s="2" t="s">
        <v>30</v>
      </c>
      <c r="G84" s="2" t="s">
        <v>91</v>
      </c>
      <c r="H84" s="2" t="s">
        <v>17</v>
      </c>
      <c r="I84" s="2" t="n">
        <v>2</v>
      </c>
      <c r="J84" s="7" t="n">
        <v>14500</v>
      </c>
      <c r="K84" s="8" t="n">
        <v>0</v>
      </c>
      <c r="L84" s="7" t="n">
        <f aca="false">I84*J84*(1-K84)</f>
        <v>29000</v>
      </c>
      <c r="M84" s="2" t="str">
        <f aca="false">TEXT(B84,"mmm")</f>
        <v>Jul</v>
      </c>
      <c r="N84" s="2" t="n">
        <f aca="false">MONTH(B84)</f>
        <v>7</v>
      </c>
    </row>
    <row r="85" customFormat="false" ht="15" hidden="false" customHeight="false" outlineLevel="0" collapsed="false">
      <c r="A85" s="2" t="s">
        <v>141</v>
      </c>
      <c r="B85" s="6" t="n">
        <v>45866</v>
      </c>
      <c r="C85" s="2" t="s">
        <v>40</v>
      </c>
      <c r="D85" s="2" t="s">
        <v>41</v>
      </c>
      <c r="E85" s="2" t="s">
        <v>21</v>
      </c>
      <c r="F85" s="2" t="s">
        <v>30</v>
      </c>
      <c r="G85" s="2" t="s">
        <v>86</v>
      </c>
      <c r="H85" s="2" t="s">
        <v>17</v>
      </c>
      <c r="I85" s="2" t="n">
        <v>20</v>
      </c>
      <c r="J85" s="7" t="n">
        <v>42500</v>
      </c>
      <c r="K85" s="8" t="n">
        <v>0</v>
      </c>
      <c r="L85" s="7" t="n">
        <f aca="false">I85*J85*(1-K85)</f>
        <v>850000</v>
      </c>
      <c r="M85" s="2" t="str">
        <f aca="false">TEXT(B85,"mmm")</f>
        <v>Jul</v>
      </c>
      <c r="N85" s="2" t="n">
        <f aca="false">MONTH(B85)</f>
        <v>7</v>
      </c>
    </row>
    <row r="86" customFormat="false" ht="15" hidden="false" customHeight="false" outlineLevel="0" collapsed="false">
      <c r="A86" s="2" t="s">
        <v>142</v>
      </c>
      <c r="B86" s="6" t="n">
        <v>45868</v>
      </c>
      <c r="C86" s="2" t="s">
        <v>40</v>
      </c>
      <c r="D86" s="2" t="s">
        <v>46</v>
      </c>
      <c r="E86" s="2" t="s">
        <v>53</v>
      </c>
      <c r="F86" s="2" t="s">
        <v>15</v>
      </c>
      <c r="G86" s="2" t="s">
        <v>42</v>
      </c>
      <c r="H86" s="2" t="s">
        <v>27</v>
      </c>
      <c r="I86" s="2" t="n">
        <v>11</v>
      </c>
      <c r="J86" s="7" t="n">
        <v>3800</v>
      </c>
      <c r="K86" s="8" t="n">
        <v>0</v>
      </c>
      <c r="L86" s="7" t="n">
        <f aca="false">I86*J86*(1-K86)</f>
        <v>41800</v>
      </c>
      <c r="M86" s="2" t="str">
        <f aca="false">TEXT(B86,"mmm")</f>
        <v>Jul</v>
      </c>
      <c r="N86" s="2" t="n">
        <f aca="false">MONTH(B86)</f>
        <v>7</v>
      </c>
    </row>
    <row r="87" customFormat="false" ht="15" hidden="false" customHeight="false" outlineLevel="0" collapsed="false">
      <c r="A87" s="2" t="s">
        <v>143</v>
      </c>
      <c r="B87" s="6" t="n">
        <v>45868</v>
      </c>
      <c r="C87" s="2" t="s">
        <v>61</v>
      </c>
      <c r="D87" s="2" t="s">
        <v>62</v>
      </c>
      <c r="E87" s="2" t="s">
        <v>29</v>
      </c>
      <c r="F87" s="2" t="s">
        <v>15</v>
      </c>
      <c r="G87" s="2" t="s">
        <v>49</v>
      </c>
      <c r="H87" s="2" t="s">
        <v>17</v>
      </c>
      <c r="I87" s="2" t="n">
        <v>17</v>
      </c>
      <c r="J87" s="7" t="n">
        <v>4200</v>
      </c>
      <c r="K87" s="8" t="n">
        <v>0</v>
      </c>
      <c r="L87" s="7" t="n">
        <f aca="false">I87*J87*(1-K87)</f>
        <v>71400</v>
      </c>
      <c r="M87" s="2" t="str">
        <f aca="false">TEXT(B87,"mmm")</f>
        <v>Jul</v>
      </c>
      <c r="N87" s="2" t="n">
        <f aca="false">MONTH(B87)</f>
        <v>7</v>
      </c>
    </row>
    <row r="88" customFormat="false" ht="15" hidden="false" customHeight="false" outlineLevel="0" collapsed="false">
      <c r="A88" s="2" t="s">
        <v>144</v>
      </c>
      <c r="B88" s="6" t="n">
        <v>45870</v>
      </c>
      <c r="C88" s="2" t="s">
        <v>12</v>
      </c>
      <c r="D88" s="2" t="s">
        <v>51</v>
      </c>
      <c r="E88" s="2" t="s">
        <v>65</v>
      </c>
      <c r="F88" s="2" t="s">
        <v>22</v>
      </c>
      <c r="G88" s="2" t="s">
        <v>47</v>
      </c>
      <c r="H88" s="2" t="s">
        <v>27</v>
      </c>
      <c r="I88" s="2" t="n">
        <v>13</v>
      </c>
      <c r="J88" s="7" t="n">
        <v>120</v>
      </c>
      <c r="K88" s="8" t="n">
        <v>0.05</v>
      </c>
      <c r="L88" s="7" t="n">
        <f aca="false">I88*J88*(1-K88)</f>
        <v>1482</v>
      </c>
      <c r="M88" s="2" t="str">
        <f aca="false">TEXT(B88,"mmm")</f>
        <v>Aug</v>
      </c>
      <c r="N88" s="2" t="n">
        <f aca="false">MONTH(B88)</f>
        <v>8</v>
      </c>
    </row>
    <row r="89" customFormat="false" ht="15" hidden="false" customHeight="false" outlineLevel="0" collapsed="false">
      <c r="A89" s="2" t="s">
        <v>145</v>
      </c>
      <c r="B89" s="6" t="n">
        <v>45874</v>
      </c>
      <c r="C89" s="2" t="s">
        <v>19</v>
      </c>
      <c r="D89" s="2" t="s">
        <v>68</v>
      </c>
      <c r="E89" s="2" t="s">
        <v>34</v>
      </c>
      <c r="F89" s="2" t="s">
        <v>22</v>
      </c>
      <c r="G89" s="2" t="s">
        <v>47</v>
      </c>
      <c r="H89" s="2" t="s">
        <v>17</v>
      </c>
      <c r="I89" s="2" t="n">
        <v>10</v>
      </c>
      <c r="J89" s="7" t="n">
        <v>120</v>
      </c>
      <c r="K89" s="8" t="n">
        <v>0</v>
      </c>
      <c r="L89" s="7" t="n">
        <f aca="false">I89*J89*(1-K89)</f>
        <v>1200</v>
      </c>
      <c r="M89" s="2" t="str">
        <f aca="false">TEXT(B89,"mmm")</f>
        <v>Aug</v>
      </c>
      <c r="N89" s="2" t="n">
        <f aca="false">MONTH(B89)</f>
        <v>8</v>
      </c>
    </row>
    <row r="90" customFormat="false" ht="15" hidden="false" customHeight="false" outlineLevel="0" collapsed="false">
      <c r="A90" s="2" t="s">
        <v>146</v>
      </c>
      <c r="B90" s="6" t="n">
        <v>45874</v>
      </c>
      <c r="C90" s="2" t="s">
        <v>40</v>
      </c>
      <c r="D90" s="2" t="s">
        <v>90</v>
      </c>
      <c r="E90" s="2" t="s">
        <v>21</v>
      </c>
      <c r="F90" s="2" t="s">
        <v>30</v>
      </c>
      <c r="G90" s="2" t="s">
        <v>91</v>
      </c>
      <c r="H90" s="2" t="s">
        <v>17</v>
      </c>
      <c r="I90" s="2" t="n">
        <v>21</v>
      </c>
      <c r="J90" s="7" t="n">
        <v>14500</v>
      </c>
      <c r="K90" s="8" t="n">
        <v>0</v>
      </c>
      <c r="L90" s="7" t="n">
        <f aca="false">I90*J90*(1-K90)</f>
        <v>304500</v>
      </c>
      <c r="M90" s="2" t="str">
        <f aca="false">TEXT(B90,"mmm")</f>
        <v>Aug</v>
      </c>
      <c r="N90" s="2" t="n">
        <f aca="false">MONTH(B90)</f>
        <v>8</v>
      </c>
    </row>
    <row r="91" customFormat="false" ht="15" hidden="false" customHeight="false" outlineLevel="0" collapsed="false">
      <c r="A91" s="2" t="s">
        <v>147</v>
      </c>
      <c r="B91" s="6" t="n">
        <v>45878</v>
      </c>
      <c r="C91" s="2" t="s">
        <v>40</v>
      </c>
      <c r="D91" s="2" t="s">
        <v>46</v>
      </c>
      <c r="E91" s="2" t="s">
        <v>26</v>
      </c>
      <c r="F91" s="2" t="s">
        <v>30</v>
      </c>
      <c r="G91" s="2" t="s">
        <v>91</v>
      </c>
      <c r="H91" s="2" t="s">
        <v>27</v>
      </c>
      <c r="I91" s="2" t="n">
        <v>22</v>
      </c>
      <c r="J91" s="7" t="n">
        <v>14500</v>
      </c>
      <c r="K91" s="8" t="n">
        <v>0.05</v>
      </c>
      <c r="L91" s="7" t="n">
        <f aca="false">I91*J91*(1-K91)</f>
        <v>303050</v>
      </c>
      <c r="M91" s="2" t="str">
        <f aca="false">TEXT(B91,"mmm")</f>
        <v>Aug</v>
      </c>
      <c r="N91" s="2" t="n">
        <f aca="false">MONTH(B91)</f>
        <v>8</v>
      </c>
    </row>
    <row r="92" customFormat="false" ht="15" hidden="false" customHeight="false" outlineLevel="0" collapsed="false">
      <c r="A92" s="2" t="s">
        <v>148</v>
      </c>
      <c r="B92" s="6" t="n">
        <v>45879</v>
      </c>
      <c r="C92" s="2" t="s">
        <v>61</v>
      </c>
      <c r="D92" s="2" t="s">
        <v>38</v>
      </c>
      <c r="E92" s="2" t="s">
        <v>26</v>
      </c>
      <c r="F92" s="2" t="s">
        <v>56</v>
      </c>
      <c r="G92" s="2" t="s">
        <v>72</v>
      </c>
      <c r="H92" s="2" t="s">
        <v>24</v>
      </c>
      <c r="I92" s="2" t="n">
        <v>4</v>
      </c>
      <c r="J92" s="7" t="n">
        <v>1750</v>
      </c>
      <c r="K92" s="8" t="n">
        <v>0.05</v>
      </c>
      <c r="L92" s="7" t="n">
        <f aca="false">I92*J92*(1-K92)</f>
        <v>6650</v>
      </c>
      <c r="M92" s="2" t="str">
        <f aca="false">TEXT(B92,"mmm")</f>
        <v>Aug</v>
      </c>
      <c r="N92" s="2" t="n">
        <f aca="false">MONTH(B92)</f>
        <v>8</v>
      </c>
    </row>
    <row r="93" customFormat="false" ht="15" hidden="false" customHeight="false" outlineLevel="0" collapsed="false">
      <c r="A93" s="2" t="s">
        <v>149</v>
      </c>
      <c r="B93" s="6" t="n">
        <v>45880</v>
      </c>
      <c r="C93" s="2" t="s">
        <v>61</v>
      </c>
      <c r="D93" s="2" t="s">
        <v>78</v>
      </c>
      <c r="E93" s="2" t="s">
        <v>29</v>
      </c>
      <c r="F93" s="2" t="s">
        <v>22</v>
      </c>
      <c r="G93" s="2" t="s">
        <v>23</v>
      </c>
      <c r="H93" s="2" t="s">
        <v>27</v>
      </c>
      <c r="I93" s="2" t="n">
        <v>10</v>
      </c>
      <c r="J93" s="7" t="n">
        <v>240</v>
      </c>
      <c r="K93" s="8" t="n">
        <v>0</v>
      </c>
      <c r="L93" s="7" t="n">
        <f aca="false">I93*J93*(1-K93)</f>
        <v>2400</v>
      </c>
      <c r="M93" s="2" t="str">
        <f aca="false">TEXT(B93,"mmm")</f>
        <v>Aug</v>
      </c>
      <c r="N93" s="2" t="n">
        <f aca="false">MONTH(B93)</f>
        <v>8</v>
      </c>
    </row>
    <row r="94" customFormat="false" ht="15" hidden="false" customHeight="false" outlineLevel="0" collapsed="false">
      <c r="A94" s="2" t="s">
        <v>150</v>
      </c>
      <c r="B94" s="6" t="n">
        <v>45884</v>
      </c>
      <c r="C94" s="2" t="s">
        <v>61</v>
      </c>
      <c r="D94" s="2" t="s">
        <v>38</v>
      </c>
      <c r="E94" s="2" t="s">
        <v>14</v>
      </c>
      <c r="F94" s="2" t="s">
        <v>22</v>
      </c>
      <c r="G94" s="2" t="s">
        <v>23</v>
      </c>
      <c r="H94" s="2" t="s">
        <v>24</v>
      </c>
      <c r="I94" s="2" t="n">
        <v>24</v>
      </c>
      <c r="J94" s="7" t="n">
        <v>240</v>
      </c>
      <c r="K94" s="8" t="n">
        <v>0</v>
      </c>
      <c r="L94" s="7" t="n">
        <f aca="false">I94*J94*(1-K94)</f>
        <v>5760</v>
      </c>
      <c r="M94" s="2" t="str">
        <f aca="false">TEXT(B94,"mmm")</f>
        <v>Aug</v>
      </c>
      <c r="N94" s="2" t="n">
        <f aca="false">MONTH(B94)</f>
        <v>8</v>
      </c>
    </row>
    <row r="95" customFormat="false" ht="15" hidden="false" customHeight="false" outlineLevel="0" collapsed="false">
      <c r="A95" s="2" t="s">
        <v>151</v>
      </c>
      <c r="B95" s="6" t="n">
        <v>45885</v>
      </c>
      <c r="C95" s="2" t="s">
        <v>40</v>
      </c>
      <c r="D95" s="2" t="s">
        <v>90</v>
      </c>
      <c r="E95" s="2" t="s">
        <v>65</v>
      </c>
      <c r="F95" s="2" t="s">
        <v>30</v>
      </c>
      <c r="G95" s="2" t="s">
        <v>86</v>
      </c>
      <c r="H95" s="2" t="s">
        <v>17</v>
      </c>
      <c r="I95" s="2" t="n">
        <v>23</v>
      </c>
      <c r="J95" s="7" t="n">
        <v>42500</v>
      </c>
      <c r="K95" s="8" t="n">
        <v>0</v>
      </c>
      <c r="L95" s="7" t="n">
        <f aca="false">I95*J95*(1-K95)</f>
        <v>977500</v>
      </c>
      <c r="M95" s="2" t="str">
        <f aca="false">TEXT(B95,"mmm")</f>
        <v>Aug</v>
      </c>
      <c r="N95" s="2" t="n">
        <f aca="false">MONTH(B95)</f>
        <v>8</v>
      </c>
    </row>
    <row r="96" customFormat="false" ht="15" hidden="false" customHeight="false" outlineLevel="0" collapsed="false">
      <c r="A96" s="2" t="s">
        <v>152</v>
      </c>
      <c r="B96" s="6" t="n">
        <v>45888</v>
      </c>
      <c r="C96" s="2" t="s">
        <v>40</v>
      </c>
      <c r="D96" s="2" t="s">
        <v>41</v>
      </c>
      <c r="E96" s="2" t="s">
        <v>34</v>
      </c>
      <c r="F96" s="2" t="s">
        <v>15</v>
      </c>
      <c r="G96" s="2" t="s">
        <v>42</v>
      </c>
      <c r="H96" s="2" t="s">
        <v>27</v>
      </c>
      <c r="I96" s="2" t="n">
        <v>13</v>
      </c>
      <c r="J96" s="7" t="n">
        <v>3800</v>
      </c>
      <c r="K96" s="8" t="n">
        <v>0.1</v>
      </c>
      <c r="L96" s="7" t="n">
        <f aca="false">I96*J96*(1-K96)</f>
        <v>44460</v>
      </c>
      <c r="M96" s="2" t="str">
        <f aca="false">TEXT(B96,"mmm")</f>
        <v>Aug</v>
      </c>
      <c r="N96" s="2" t="n">
        <f aca="false">MONTH(B96)</f>
        <v>8</v>
      </c>
    </row>
    <row r="97" customFormat="false" ht="15" hidden="false" customHeight="false" outlineLevel="0" collapsed="false">
      <c r="A97" s="2" t="s">
        <v>153</v>
      </c>
      <c r="B97" s="6" t="n">
        <v>45889</v>
      </c>
      <c r="C97" s="2" t="s">
        <v>40</v>
      </c>
      <c r="D97" s="2" t="s">
        <v>41</v>
      </c>
      <c r="E97" s="2" t="s">
        <v>65</v>
      </c>
      <c r="F97" s="2" t="s">
        <v>22</v>
      </c>
      <c r="G97" s="2" t="s">
        <v>47</v>
      </c>
      <c r="H97" s="2" t="s">
        <v>17</v>
      </c>
      <c r="I97" s="2" t="n">
        <v>17</v>
      </c>
      <c r="J97" s="7" t="n">
        <v>120</v>
      </c>
      <c r="K97" s="8" t="n">
        <v>0</v>
      </c>
      <c r="L97" s="7" t="n">
        <f aca="false">I97*J97*(1-K97)</f>
        <v>2040</v>
      </c>
      <c r="M97" s="2" t="str">
        <f aca="false">TEXT(B97,"mmm")</f>
        <v>Aug</v>
      </c>
      <c r="N97" s="2" t="n">
        <f aca="false">MONTH(B97)</f>
        <v>8</v>
      </c>
    </row>
    <row r="98" customFormat="false" ht="15" hidden="false" customHeight="false" outlineLevel="0" collapsed="false">
      <c r="A98" s="2" t="s">
        <v>154</v>
      </c>
      <c r="B98" s="6" t="n">
        <v>45890</v>
      </c>
      <c r="C98" s="2" t="s">
        <v>61</v>
      </c>
      <c r="D98" s="2" t="s">
        <v>62</v>
      </c>
      <c r="E98" s="2" t="s">
        <v>21</v>
      </c>
      <c r="F98" s="2" t="s">
        <v>22</v>
      </c>
      <c r="G98" s="2" t="s">
        <v>47</v>
      </c>
      <c r="H98" s="2" t="s">
        <v>27</v>
      </c>
      <c r="I98" s="2" t="n">
        <v>23</v>
      </c>
      <c r="J98" s="7" t="n">
        <v>120</v>
      </c>
      <c r="K98" s="8" t="n">
        <v>0</v>
      </c>
      <c r="L98" s="7" t="n">
        <f aca="false">I98*J98*(1-K98)</f>
        <v>2760</v>
      </c>
      <c r="M98" s="2" t="str">
        <f aca="false">TEXT(B98,"mmm")</f>
        <v>Aug</v>
      </c>
      <c r="N98" s="2" t="n">
        <f aca="false">MONTH(B98)</f>
        <v>8</v>
      </c>
    </row>
    <row r="99" customFormat="false" ht="15" hidden="false" customHeight="false" outlineLevel="0" collapsed="false">
      <c r="A99" s="2" t="s">
        <v>155</v>
      </c>
      <c r="B99" s="6" t="n">
        <v>45890</v>
      </c>
      <c r="C99" s="2" t="s">
        <v>40</v>
      </c>
      <c r="D99" s="2" t="s">
        <v>90</v>
      </c>
      <c r="E99" s="2" t="s">
        <v>65</v>
      </c>
      <c r="F99" s="2" t="s">
        <v>56</v>
      </c>
      <c r="G99" s="2" t="s">
        <v>79</v>
      </c>
      <c r="H99" s="2" t="s">
        <v>27</v>
      </c>
      <c r="I99" s="2" t="n">
        <v>2</v>
      </c>
      <c r="J99" s="7" t="n">
        <v>8900</v>
      </c>
      <c r="K99" s="8" t="n">
        <v>0</v>
      </c>
      <c r="L99" s="7" t="n">
        <f aca="false">I99*J99*(1-K99)</f>
        <v>17800</v>
      </c>
      <c r="M99" s="2" t="str">
        <f aca="false">TEXT(B99,"mmm")</f>
        <v>Aug</v>
      </c>
      <c r="N99" s="2" t="n">
        <f aca="false">MONTH(B99)</f>
        <v>8</v>
      </c>
    </row>
    <row r="100" customFormat="false" ht="15" hidden="false" customHeight="false" outlineLevel="0" collapsed="false">
      <c r="A100" s="2" t="s">
        <v>156</v>
      </c>
      <c r="B100" s="6" t="n">
        <v>45890</v>
      </c>
      <c r="C100" s="2" t="s">
        <v>19</v>
      </c>
      <c r="D100" s="2" t="s">
        <v>68</v>
      </c>
      <c r="E100" s="2" t="s">
        <v>65</v>
      </c>
      <c r="F100" s="2" t="s">
        <v>22</v>
      </c>
      <c r="G100" s="2" t="s">
        <v>23</v>
      </c>
      <c r="H100" s="2" t="s">
        <v>24</v>
      </c>
      <c r="I100" s="2" t="n">
        <v>4</v>
      </c>
      <c r="J100" s="7" t="n">
        <v>240</v>
      </c>
      <c r="K100" s="8" t="n">
        <v>0</v>
      </c>
      <c r="L100" s="7" t="n">
        <f aca="false">I100*J100*(1-K100)</f>
        <v>960</v>
      </c>
      <c r="M100" s="2" t="str">
        <f aca="false">TEXT(B100,"mmm")</f>
        <v>Aug</v>
      </c>
      <c r="N100" s="2" t="n">
        <f aca="false">MONTH(B100)</f>
        <v>8</v>
      </c>
    </row>
    <row r="101" customFormat="false" ht="15" hidden="false" customHeight="false" outlineLevel="0" collapsed="false">
      <c r="A101" s="2" t="s">
        <v>157</v>
      </c>
      <c r="B101" s="6" t="n">
        <v>45901</v>
      </c>
      <c r="C101" s="2" t="s">
        <v>40</v>
      </c>
      <c r="D101" s="2" t="s">
        <v>41</v>
      </c>
      <c r="E101" s="2" t="s">
        <v>34</v>
      </c>
      <c r="F101" s="2" t="s">
        <v>56</v>
      </c>
      <c r="G101" s="2" t="s">
        <v>57</v>
      </c>
      <c r="H101" s="2" t="s">
        <v>27</v>
      </c>
      <c r="I101" s="2" t="n">
        <v>24</v>
      </c>
      <c r="J101" s="7" t="n">
        <v>2600</v>
      </c>
      <c r="K101" s="8" t="n">
        <v>0</v>
      </c>
      <c r="L101" s="7" t="n">
        <f aca="false">I101*J101*(1-K101)</f>
        <v>62400</v>
      </c>
      <c r="M101" s="2" t="str">
        <f aca="false">TEXT(B101,"mmm")</f>
        <v>Sep</v>
      </c>
      <c r="N101" s="2" t="n">
        <f aca="false">MONTH(B101)</f>
        <v>9</v>
      </c>
    </row>
    <row r="102" customFormat="false" ht="15" hidden="false" customHeight="false" outlineLevel="0" collapsed="false">
      <c r="A102" s="2" t="s">
        <v>158</v>
      </c>
      <c r="B102" s="6" t="n">
        <v>45903</v>
      </c>
      <c r="C102" s="2" t="s">
        <v>40</v>
      </c>
      <c r="D102" s="2" t="s">
        <v>46</v>
      </c>
      <c r="E102" s="2" t="s">
        <v>34</v>
      </c>
      <c r="F102" s="2" t="s">
        <v>30</v>
      </c>
      <c r="G102" s="2" t="s">
        <v>31</v>
      </c>
      <c r="H102" s="2" t="s">
        <v>27</v>
      </c>
      <c r="I102" s="2" t="n">
        <v>16</v>
      </c>
      <c r="J102" s="7" t="n">
        <v>11999</v>
      </c>
      <c r="K102" s="8" t="n">
        <v>0</v>
      </c>
      <c r="L102" s="7" t="n">
        <f aca="false">I102*J102*(1-K102)</f>
        <v>191984</v>
      </c>
      <c r="M102" s="2" t="str">
        <f aca="false">TEXT(B102,"mmm")</f>
        <v>Sep</v>
      </c>
      <c r="N102" s="2" t="n">
        <f aca="false">MONTH(B102)</f>
        <v>9</v>
      </c>
    </row>
    <row r="103" customFormat="false" ht="15" hidden="false" customHeight="false" outlineLevel="0" collapsed="false">
      <c r="A103" s="2" t="s">
        <v>159</v>
      </c>
      <c r="B103" s="6" t="n">
        <v>45904</v>
      </c>
      <c r="C103" s="2" t="s">
        <v>61</v>
      </c>
      <c r="D103" s="2" t="s">
        <v>78</v>
      </c>
      <c r="E103" s="2" t="s">
        <v>21</v>
      </c>
      <c r="F103" s="2" t="s">
        <v>22</v>
      </c>
      <c r="G103" s="2" t="s">
        <v>23</v>
      </c>
      <c r="H103" s="2" t="s">
        <v>24</v>
      </c>
      <c r="I103" s="2" t="n">
        <v>9</v>
      </c>
      <c r="J103" s="7" t="n">
        <v>240</v>
      </c>
      <c r="K103" s="8" t="n">
        <v>0</v>
      </c>
      <c r="L103" s="7" t="n">
        <f aca="false">I103*J103*(1-K103)</f>
        <v>2160</v>
      </c>
      <c r="M103" s="2" t="str">
        <f aca="false">TEXT(B103,"mmm")</f>
        <v>Sep</v>
      </c>
      <c r="N103" s="2" t="n">
        <f aca="false">MONTH(B103)</f>
        <v>9</v>
      </c>
    </row>
    <row r="104" customFormat="false" ht="15" hidden="false" customHeight="false" outlineLevel="0" collapsed="false">
      <c r="A104" s="2" t="s">
        <v>160</v>
      </c>
      <c r="B104" s="6" t="n">
        <v>45906</v>
      </c>
      <c r="C104" s="2" t="s">
        <v>12</v>
      </c>
      <c r="D104" s="2" t="s">
        <v>51</v>
      </c>
      <c r="E104" s="2" t="s">
        <v>44</v>
      </c>
      <c r="F104" s="2" t="s">
        <v>15</v>
      </c>
      <c r="G104" s="2" t="s">
        <v>16</v>
      </c>
      <c r="H104" s="2" t="s">
        <v>27</v>
      </c>
      <c r="I104" s="2" t="n">
        <v>14</v>
      </c>
      <c r="J104" s="7" t="n">
        <v>6500</v>
      </c>
      <c r="K104" s="8" t="n">
        <v>0</v>
      </c>
      <c r="L104" s="7" t="n">
        <f aca="false">I104*J104*(1-K104)</f>
        <v>91000</v>
      </c>
      <c r="M104" s="2" t="str">
        <f aca="false">TEXT(B104,"mmm")</f>
        <v>Sep</v>
      </c>
      <c r="N104" s="2" t="n">
        <f aca="false">MONTH(B104)</f>
        <v>9</v>
      </c>
    </row>
    <row r="105" customFormat="false" ht="15" hidden="false" customHeight="false" outlineLevel="0" collapsed="false">
      <c r="A105" s="2" t="s">
        <v>161</v>
      </c>
      <c r="B105" s="6" t="n">
        <v>45907</v>
      </c>
      <c r="C105" s="2" t="s">
        <v>19</v>
      </c>
      <c r="D105" s="2" t="s">
        <v>33</v>
      </c>
      <c r="E105" s="2" t="s">
        <v>44</v>
      </c>
      <c r="F105" s="2" t="s">
        <v>56</v>
      </c>
      <c r="G105" s="2" t="s">
        <v>72</v>
      </c>
      <c r="H105" s="2" t="s">
        <v>24</v>
      </c>
      <c r="I105" s="2" t="n">
        <v>21</v>
      </c>
      <c r="J105" s="7" t="n">
        <v>1750</v>
      </c>
      <c r="K105" s="8" t="n">
        <v>0</v>
      </c>
      <c r="L105" s="7" t="n">
        <f aca="false">I105*J105*(1-K105)</f>
        <v>36750</v>
      </c>
      <c r="M105" s="2" t="str">
        <f aca="false">TEXT(B105,"mmm")</f>
        <v>Sep</v>
      </c>
      <c r="N105" s="2" t="n">
        <f aca="false">MONTH(B105)</f>
        <v>9</v>
      </c>
    </row>
    <row r="106" customFormat="false" ht="15" hidden="false" customHeight="false" outlineLevel="0" collapsed="false">
      <c r="A106" s="2" t="s">
        <v>162</v>
      </c>
      <c r="B106" s="6" t="n">
        <v>45909</v>
      </c>
      <c r="C106" s="2" t="s">
        <v>12</v>
      </c>
      <c r="D106" s="2" t="s">
        <v>13</v>
      </c>
      <c r="E106" s="2" t="s">
        <v>34</v>
      </c>
      <c r="F106" s="2" t="s">
        <v>56</v>
      </c>
      <c r="G106" s="2" t="s">
        <v>79</v>
      </c>
      <c r="H106" s="2" t="s">
        <v>17</v>
      </c>
      <c r="I106" s="2" t="n">
        <v>23</v>
      </c>
      <c r="J106" s="7" t="n">
        <v>8900</v>
      </c>
      <c r="K106" s="8" t="n">
        <v>0</v>
      </c>
      <c r="L106" s="7" t="n">
        <f aca="false">I106*J106*(1-K106)</f>
        <v>204700</v>
      </c>
      <c r="M106" s="2" t="str">
        <f aca="false">TEXT(B106,"mmm")</f>
        <v>Sep</v>
      </c>
      <c r="N106" s="2" t="n">
        <f aca="false">MONTH(B106)</f>
        <v>9</v>
      </c>
    </row>
    <row r="107" customFormat="false" ht="15" hidden="false" customHeight="false" outlineLevel="0" collapsed="false">
      <c r="A107" s="2" t="s">
        <v>163</v>
      </c>
      <c r="B107" s="6" t="n">
        <v>45913</v>
      </c>
      <c r="C107" s="2" t="s">
        <v>19</v>
      </c>
      <c r="D107" s="2" t="s">
        <v>20</v>
      </c>
      <c r="E107" s="2" t="s">
        <v>14</v>
      </c>
      <c r="F107" s="2" t="s">
        <v>22</v>
      </c>
      <c r="G107" s="2" t="s">
        <v>23</v>
      </c>
      <c r="H107" s="2" t="s">
        <v>24</v>
      </c>
      <c r="I107" s="2" t="n">
        <v>21</v>
      </c>
      <c r="J107" s="7" t="n">
        <v>240</v>
      </c>
      <c r="K107" s="8" t="n">
        <v>0.05</v>
      </c>
      <c r="L107" s="7" t="n">
        <f aca="false">I107*J107*(1-K107)</f>
        <v>4788</v>
      </c>
      <c r="M107" s="2" t="str">
        <f aca="false">TEXT(B107,"mmm")</f>
        <v>Sep</v>
      </c>
      <c r="N107" s="2" t="n">
        <f aca="false">MONTH(B107)</f>
        <v>9</v>
      </c>
    </row>
    <row r="108" customFormat="false" ht="15" hidden="false" customHeight="false" outlineLevel="0" collapsed="false">
      <c r="A108" s="2" t="s">
        <v>164</v>
      </c>
      <c r="B108" s="6" t="n">
        <v>45913</v>
      </c>
      <c r="C108" s="2" t="s">
        <v>12</v>
      </c>
      <c r="D108" s="2" t="s">
        <v>13</v>
      </c>
      <c r="E108" s="2" t="s">
        <v>34</v>
      </c>
      <c r="F108" s="2" t="s">
        <v>22</v>
      </c>
      <c r="G108" s="2" t="s">
        <v>35</v>
      </c>
      <c r="H108" s="2" t="s">
        <v>17</v>
      </c>
      <c r="I108" s="2" t="n">
        <v>25</v>
      </c>
      <c r="J108" s="7" t="n">
        <v>320</v>
      </c>
      <c r="K108" s="8" t="n">
        <v>0</v>
      </c>
      <c r="L108" s="7" t="n">
        <f aca="false">I108*J108*(1-K108)</f>
        <v>8000</v>
      </c>
      <c r="M108" s="2" t="str">
        <f aca="false">TEXT(B108,"mmm")</f>
        <v>Sep</v>
      </c>
      <c r="N108" s="2" t="n">
        <f aca="false">MONTH(B108)</f>
        <v>9</v>
      </c>
    </row>
    <row r="109" customFormat="false" ht="15" hidden="false" customHeight="false" outlineLevel="0" collapsed="false">
      <c r="A109" s="2" t="s">
        <v>165</v>
      </c>
      <c r="B109" s="6" t="n">
        <v>45917</v>
      </c>
      <c r="C109" s="2" t="s">
        <v>12</v>
      </c>
      <c r="D109" s="2" t="s">
        <v>81</v>
      </c>
      <c r="E109" s="2" t="s">
        <v>21</v>
      </c>
      <c r="F109" s="2" t="s">
        <v>22</v>
      </c>
      <c r="G109" s="2" t="s">
        <v>47</v>
      </c>
      <c r="H109" s="2" t="s">
        <v>17</v>
      </c>
      <c r="I109" s="2" t="n">
        <v>11</v>
      </c>
      <c r="J109" s="7" t="n">
        <v>120</v>
      </c>
      <c r="K109" s="8" t="n">
        <v>0</v>
      </c>
      <c r="L109" s="7" t="n">
        <f aca="false">I109*J109*(1-K109)</f>
        <v>1320</v>
      </c>
      <c r="M109" s="2" t="str">
        <f aca="false">TEXT(B109,"mmm")</f>
        <v>Sep</v>
      </c>
      <c r="N109" s="2" t="n">
        <f aca="false">MONTH(B109)</f>
        <v>9</v>
      </c>
    </row>
    <row r="110" customFormat="false" ht="15" hidden="false" customHeight="false" outlineLevel="0" collapsed="false">
      <c r="A110" s="2" t="s">
        <v>166</v>
      </c>
      <c r="B110" s="6" t="n">
        <v>45921</v>
      </c>
      <c r="C110" s="2" t="s">
        <v>12</v>
      </c>
      <c r="D110" s="2" t="s">
        <v>81</v>
      </c>
      <c r="E110" s="2" t="s">
        <v>53</v>
      </c>
      <c r="F110" s="2" t="s">
        <v>30</v>
      </c>
      <c r="G110" s="2" t="s">
        <v>31</v>
      </c>
      <c r="H110" s="2" t="s">
        <v>27</v>
      </c>
      <c r="I110" s="2" t="n">
        <v>16</v>
      </c>
      <c r="J110" s="7" t="n">
        <v>11999</v>
      </c>
      <c r="K110" s="8" t="n">
        <v>0.05</v>
      </c>
      <c r="L110" s="7" t="n">
        <f aca="false">I110*J110*(1-K110)</f>
        <v>182384.8</v>
      </c>
      <c r="M110" s="2" t="str">
        <f aca="false">TEXT(B110,"mmm")</f>
        <v>Sep</v>
      </c>
      <c r="N110" s="2" t="n">
        <f aca="false">MONTH(B110)</f>
        <v>9</v>
      </c>
    </row>
    <row r="111" customFormat="false" ht="15" hidden="false" customHeight="false" outlineLevel="0" collapsed="false">
      <c r="A111" s="2" t="s">
        <v>167</v>
      </c>
      <c r="B111" s="6" t="n">
        <v>45923</v>
      </c>
      <c r="C111" s="2" t="s">
        <v>19</v>
      </c>
      <c r="D111" s="2" t="s">
        <v>68</v>
      </c>
      <c r="E111" s="2" t="s">
        <v>34</v>
      </c>
      <c r="F111" s="2" t="s">
        <v>15</v>
      </c>
      <c r="G111" s="2" t="s">
        <v>49</v>
      </c>
      <c r="H111" s="2" t="s">
        <v>17</v>
      </c>
      <c r="I111" s="2" t="n">
        <v>23</v>
      </c>
      <c r="J111" s="7" t="n">
        <v>4200</v>
      </c>
      <c r="K111" s="8" t="n">
        <v>0.1</v>
      </c>
      <c r="L111" s="7" t="n">
        <f aca="false">I111*J111*(1-K111)</f>
        <v>86940</v>
      </c>
      <c r="M111" s="2" t="str">
        <f aca="false">TEXT(B111,"mmm")</f>
        <v>Sep</v>
      </c>
      <c r="N111" s="2" t="n">
        <f aca="false">MONTH(B111)</f>
        <v>9</v>
      </c>
    </row>
    <row r="112" customFormat="false" ht="15" hidden="false" customHeight="false" outlineLevel="0" collapsed="false">
      <c r="A112" s="2" t="s">
        <v>168</v>
      </c>
      <c r="B112" s="6" t="n">
        <v>45929</v>
      </c>
      <c r="C112" s="2" t="s">
        <v>12</v>
      </c>
      <c r="D112" s="2" t="s">
        <v>81</v>
      </c>
      <c r="E112" s="2" t="s">
        <v>44</v>
      </c>
      <c r="F112" s="2" t="s">
        <v>22</v>
      </c>
      <c r="G112" s="2" t="s">
        <v>23</v>
      </c>
      <c r="H112" s="2" t="s">
        <v>24</v>
      </c>
      <c r="I112" s="2" t="n">
        <v>18</v>
      </c>
      <c r="J112" s="7" t="n">
        <v>240</v>
      </c>
      <c r="K112" s="8" t="n">
        <v>0</v>
      </c>
      <c r="L112" s="7" t="n">
        <f aca="false">I112*J112*(1-K112)</f>
        <v>4320</v>
      </c>
      <c r="M112" s="2" t="str">
        <f aca="false">TEXT(B112,"mmm")</f>
        <v>Sep</v>
      </c>
      <c r="N112" s="2" t="n">
        <f aca="false">MONTH(B112)</f>
        <v>9</v>
      </c>
    </row>
    <row r="113" customFormat="false" ht="15" hidden="false" customHeight="false" outlineLevel="0" collapsed="false">
      <c r="A113" s="2" t="s">
        <v>169</v>
      </c>
      <c r="B113" s="6" t="n">
        <v>45930</v>
      </c>
      <c r="C113" s="2" t="s">
        <v>19</v>
      </c>
      <c r="D113" s="2" t="s">
        <v>70</v>
      </c>
      <c r="E113" s="2" t="s">
        <v>29</v>
      </c>
      <c r="F113" s="2" t="s">
        <v>56</v>
      </c>
      <c r="G113" s="2" t="s">
        <v>57</v>
      </c>
      <c r="H113" s="2" t="s">
        <v>17</v>
      </c>
      <c r="I113" s="2" t="n">
        <v>25</v>
      </c>
      <c r="J113" s="7" t="n">
        <v>2600</v>
      </c>
      <c r="K113" s="8" t="n">
        <v>0.05</v>
      </c>
      <c r="L113" s="7" t="n">
        <f aca="false">I113*J113*(1-K113)</f>
        <v>61750</v>
      </c>
      <c r="M113" s="2" t="str">
        <f aca="false">TEXT(B113,"mmm")</f>
        <v>Sep</v>
      </c>
      <c r="N113" s="2" t="n">
        <f aca="false">MONTH(B113)</f>
        <v>9</v>
      </c>
    </row>
    <row r="114" customFormat="false" ht="15" hidden="false" customHeight="false" outlineLevel="0" collapsed="false">
      <c r="A114" s="2" t="s">
        <v>170</v>
      </c>
      <c r="B114" s="6" t="n">
        <v>45932</v>
      </c>
      <c r="C114" s="2" t="s">
        <v>12</v>
      </c>
      <c r="D114" s="2" t="s">
        <v>81</v>
      </c>
      <c r="E114" s="2" t="s">
        <v>29</v>
      </c>
      <c r="F114" s="2" t="s">
        <v>15</v>
      </c>
      <c r="G114" s="2" t="s">
        <v>16</v>
      </c>
      <c r="H114" s="2" t="s">
        <v>17</v>
      </c>
      <c r="I114" s="2" t="n">
        <v>4</v>
      </c>
      <c r="J114" s="7" t="n">
        <v>6500</v>
      </c>
      <c r="K114" s="8" t="n">
        <v>0</v>
      </c>
      <c r="L114" s="7" t="n">
        <f aca="false">I114*J114*(1-K114)</f>
        <v>26000</v>
      </c>
      <c r="M114" s="2" t="str">
        <f aca="false">TEXT(B114,"mmm")</f>
        <v>Oct</v>
      </c>
      <c r="N114" s="2" t="n">
        <f aca="false">MONTH(B114)</f>
        <v>10</v>
      </c>
    </row>
    <row r="115" customFormat="false" ht="15" hidden="false" customHeight="false" outlineLevel="0" collapsed="false">
      <c r="A115" s="2" t="s">
        <v>171</v>
      </c>
      <c r="B115" s="6" t="n">
        <v>45933</v>
      </c>
      <c r="C115" s="2" t="s">
        <v>61</v>
      </c>
      <c r="D115" s="2" t="s">
        <v>78</v>
      </c>
      <c r="E115" s="2" t="s">
        <v>34</v>
      </c>
      <c r="F115" s="2" t="s">
        <v>56</v>
      </c>
      <c r="G115" s="2" t="s">
        <v>57</v>
      </c>
      <c r="H115" s="2" t="s">
        <v>27</v>
      </c>
      <c r="I115" s="2" t="n">
        <v>15</v>
      </c>
      <c r="J115" s="7" t="n">
        <v>2600</v>
      </c>
      <c r="K115" s="8" t="n">
        <v>0</v>
      </c>
      <c r="L115" s="7" t="n">
        <f aca="false">I115*J115*(1-K115)</f>
        <v>39000</v>
      </c>
      <c r="M115" s="2" t="str">
        <f aca="false">TEXT(B115,"mmm")</f>
        <v>Oct</v>
      </c>
      <c r="N115" s="2" t="n">
        <f aca="false">MONTH(B115)</f>
        <v>10</v>
      </c>
    </row>
    <row r="116" customFormat="false" ht="15" hidden="false" customHeight="false" outlineLevel="0" collapsed="false">
      <c r="A116" s="2" t="s">
        <v>172</v>
      </c>
      <c r="B116" s="6" t="n">
        <v>45934</v>
      </c>
      <c r="C116" s="2" t="s">
        <v>19</v>
      </c>
      <c r="D116" s="2" t="s">
        <v>68</v>
      </c>
      <c r="E116" s="2" t="s">
        <v>44</v>
      </c>
      <c r="F116" s="2" t="s">
        <v>30</v>
      </c>
      <c r="G116" s="2" t="s">
        <v>91</v>
      </c>
      <c r="H116" s="2" t="s">
        <v>17</v>
      </c>
      <c r="I116" s="2" t="n">
        <v>21</v>
      </c>
      <c r="J116" s="7" t="n">
        <v>14500</v>
      </c>
      <c r="K116" s="8" t="n">
        <v>0</v>
      </c>
      <c r="L116" s="7" t="n">
        <f aca="false">I116*J116*(1-K116)</f>
        <v>304500</v>
      </c>
      <c r="M116" s="2" t="str">
        <f aca="false">TEXT(B116,"mmm")</f>
        <v>Oct</v>
      </c>
      <c r="N116" s="2" t="n">
        <f aca="false">MONTH(B116)</f>
        <v>10</v>
      </c>
    </row>
    <row r="117" customFormat="false" ht="15" hidden="false" customHeight="false" outlineLevel="0" collapsed="false">
      <c r="A117" s="2" t="s">
        <v>173</v>
      </c>
      <c r="B117" s="6" t="n">
        <v>45945</v>
      </c>
      <c r="C117" s="2" t="s">
        <v>12</v>
      </c>
      <c r="D117" s="2" t="s">
        <v>51</v>
      </c>
      <c r="E117" s="2" t="s">
        <v>21</v>
      </c>
      <c r="F117" s="2" t="s">
        <v>15</v>
      </c>
      <c r="G117" s="2" t="s">
        <v>49</v>
      </c>
      <c r="H117" s="2" t="s">
        <v>24</v>
      </c>
      <c r="I117" s="2" t="n">
        <v>24</v>
      </c>
      <c r="J117" s="7" t="n">
        <v>4200</v>
      </c>
      <c r="K117" s="8" t="n">
        <v>0.1</v>
      </c>
      <c r="L117" s="7" t="n">
        <f aca="false">I117*J117*(1-K117)</f>
        <v>90720</v>
      </c>
      <c r="M117" s="2" t="str">
        <f aca="false">TEXT(B117,"mmm")</f>
        <v>Oct</v>
      </c>
      <c r="N117" s="2" t="n">
        <f aca="false">MONTH(B117)</f>
        <v>10</v>
      </c>
    </row>
    <row r="118" customFormat="false" ht="15" hidden="false" customHeight="false" outlineLevel="0" collapsed="false">
      <c r="A118" s="2" t="s">
        <v>174</v>
      </c>
      <c r="B118" s="6" t="n">
        <v>45947</v>
      </c>
      <c r="C118" s="2" t="s">
        <v>61</v>
      </c>
      <c r="D118" s="2" t="s">
        <v>38</v>
      </c>
      <c r="E118" s="2" t="s">
        <v>44</v>
      </c>
      <c r="F118" s="2" t="s">
        <v>56</v>
      </c>
      <c r="G118" s="2" t="s">
        <v>72</v>
      </c>
      <c r="H118" s="2" t="s">
        <v>24</v>
      </c>
      <c r="I118" s="2" t="n">
        <v>1</v>
      </c>
      <c r="J118" s="7" t="n">
        <v>1750</v>
      </c>
      <c r="K118" s="8" t="n">
        <v>0.05</v>
      </c>
      <c r="L118" s="7" t="n">
        <f aca="false">I118*J118*(1-K118)</f>
        <v>1662.5</v>
      </c>
      <c r="M118" s="2" t="str">
        <f aca="false">TEXT(B118,"mmm")</f>
        <v>Oct</v>
      </c>
      <c r="N118" s="2" t="n">
        <f aca="false">MONTH(B118)</f>
        <v>10</v>
      </c>
    </row>
    <row r="119" customFormat="false" ht="15" hidden="false" customHeight="false" outlineLevel="0" collapsed="false">
      <c r="A119" s="2" t="s">
        <v>175</v>
      </c>
      <c r="B119" s="6" t="n">
        <v>45947</v>
      </c>
      <c r="C119" s="2" t="s">
        <v>19</v>
      </c>
      <c r="D119" s="2" t="s">
        <v>70</v>
      </c>
      <c r="E119" s="2" t="s">
        <v>53</v>
      </c>
      <c r="F119" s="2" t="s">
        <v>22</v>
      </c>
      <c r="G119" s="2" t="s">
        <v>23</v>
      </c>
      <c r="H119" s="2" t="s">
        <v>17</v>
      </c>
      <c r="I119" s="2" t="n">
        <v>5</v>
      </c>
      <c r="J119" s="7" t="n">
        <v>240</v>
      </c>
      <c r="K119" s="8" t="n">
        <v>0.1</v>
      </c>
      <c r="L119" s="7" t="n">
        <f aca="false">I119*J119*(1-K119)</f>
        <v>1080</v>
      </c>
      <c r="M119" s="2" t="str">
        <f aca="false">TEXT(B119,"mmm")</f>
        <v>Oct</v>
      </c>
      <c r="N119" s="2" t="n">
        <f aca="false">MONTH(B119)</f>
        <v>10</v>
      </c>
    </row>
    <row r="120" customFormat="false" ht="15" hidden="false" customHeight="false" outlineLevel="0" collapsed="false">
      <c r="A120" s="2" t="s">
        <v>176</v>
      </c>
      <c r="B120" s="6" t="n">
        <v>45953</v>
      </c>
      <c r="C120" s="2" t="s">
        <v>12</v>
      </c>
      <c r="D120" s="2" t="s">
        <v>13</v>
      </c>
      <c r="E120" s="2" t="s">
        <v>34</v>
      </c>
      <c r="F120" s="2" t="s">
        <v>15</v>
      </c>
      <c r="G120" s="2" t="s">
        <v>42</v>
      </c>
      <c r="H120" s="2" t="s">
        <v>17</v>
      </c>
      <c r="I120" s="2" t="n">
        <v>19</v>
      </c>
      <c r="J120" s="7" t="n">
        <v>3800</v>
      </c>
      <c r="K120" s="8" t="n">
        <v>0.05</v>
      </c>
      <c r="L120" s="7" t="n">
        <f aca="false">I120*J120*(1-K120)</f>
        <v>68590</v>
      </c>
      <c r="M120" s="2" t="str">
        <f aca="false">TEXT(B120,"mmm")</f>
        <v>Oct</v>
      </c>
      <c r="N120" s="2" t="n">
        <f aca="false">MONTH(B120)</f>
        <v>10</v>
      </c>
    </row>
    <row r="121" customFormat="false" ht="15" hidden="false" customHeight="false" outlineLevel="0" collapsed="false">
      <c r="A121" s="2" t="s">
        <v>177</v>
      </c>
      <c r="B121" s="6" t="n">
        <v>45954</v>
      </c>
      <c r="C121" s="2" t="s">
        <v>19</v>
      </c>
      <c r="D121" s="2" t="s">
        <v>70</v>
      </c>
      <c r="E121" s="2" t="s">
        <v>26</v>
      </c>
      <c r="F121" s="2" t="s">
        <v>22</v>
      </c>
      <c r="G121" s="2" t="s">
        <v>47</v>
      </c>
      <c r="H121" s="2" t="s">
        <v>24</v>
      </c>
      <c r="I121" s="2" t="n">
        <v>2</v>
      </c>
      <c r="J121" s="7" t="n">
        <v>120</v>
      </c>
      <c r="K121" s="8" t="n">
        <v>0</v>
      </c>
      <c r="L121" s="7" t="n">
        <f aca="false">I121*J121*(1-K121)</f>
        <v>240</v>
      </c>
      <c r="M121" s="2" t="str">
        <f aca="false">TEXT(B121,"mmm")</f>
        <v>Oct</v>
      </c>
      <c r="N121" s="2" t="n">
        <f aca="false">MONTH(B121)</f>
        <v>10</v>
      </c>
    </row>
    <row r="122" customFormat="false" ht="15" hidden="false" customHeight="false" outlineLevel="0" collapsed="false">
      <c r="A122" s="2" t="s">
        <v>178</v>
      </c>
      <c r="B122" s="6" t="n">
        <v>45959</v>
      </c>
      <c r="C122" s="2" t="s">
        <v>19</v>
      </c>
      <c r="D122" s="2" t="s">
        <v>20</v>
      </c>
      <c r="E122" s="2" t="s">
        <v>21</v>
      </c>
      <c r="F122" s="2" t="s">
        <v>56</v>
      </c>
      <c r="G122" s="2" t="s">
        <v>57</v>
      </c>
      <c r="H122" s="2" t="s">
        <v>17</v>
      </c>
      <c r="I122" s="2" t="n">
        <v>15</v>
      </c>
      <c r="J122" s="7" t="n">
        <v>2600</v>
      </c>
      <c r="K122" s="8" t="n">
        <v>0</v>
      </c>
      <c r="L122" s="7" t="n">
        <f aca="false">I122*J122*(1-K122)</f>
        <v>39000</v>
      </c>
      <c r="M122" s="2" t="str">
        <f aca="false">TEXT(B122,"mmm")</f>
        <v>Oct</v>
      </c>
      <c r="N122" s="2" t="n">
        <f aca="false">MONTH(B122)</f>
        <v>10</v>
      </c>
    </row>
    <row r="123" customFormat="false" ht="15" hidden="false" customHeight="false" outlineLevel="0" collapsed="false">
      <c r="A123" s="2" t="s">
        <v>179</v>
      </c>
      <c r="B123" s="6" t="n">
        <v>45963</v>
      </c>
      <c r="C123" s="2" t="s">
        <v>19</v>
      </c>
      <c r="D123" s="2" t="s">
        <v>20</v>
      </c>
      <c r="E123" s="2" t="s">
        <v>65</v>
      </c>
      <c r="F123" s="2" t="s">
        <v>15</v>
      </c>
      <c r="G123" s="2" t="s">
        <v>42</v>
      </c>
      <c r="H123" s="2" t="s">
        <v>27</v>
      </c>
      <c r="I123" s="2" t="n">
        <v>14</v>
      </c>
      <c r="J123" s="7" t="n">
        <v>3800</v>
      </c>
      <c r="K123" s="8" t="n">
        <v>0.05</v>
      </c>
      <c r="L123" s="7" t="n">
        <f aca="false">I123*J123*(1-K123)</f>
        <v>50540</v>
      </c>
      <c r="M123" s="2" t="str">
        <f aca="false">TEXT(B123,"mmm")</f>
        <v>Nov</v>
      </c>
      <c r="N123" s="2" t="n">
        <f aca="false">MONTH(B123)</f>
        <v>11</v>
      </c>
    </row>
    <row r="124" customFormat="false" ht="15" hidden="false" customHeight="false" outlineLevel="0" collapsed="false">
      <c r="A124" s="2" t="s">
        <v>180</v>
      </c>
      <c r="B124" s="6" t="n">
        <v>45963</v>
      </c>
      <c r="C124" s="2" t="s">
        <v>12</v>
      </c>
      <c r="D124" s="2" t="s">
        <v>13</v>
      </c>
      <c r="E124" s="2" t="s">
        <v>14</v>
      </c>
      <c r="F124" s="2" t="s">
        <v>22</v>
      </c>
      <c r="G124" s="2" t="s">
        <v>23</v>
      </c>
      <c r="H124" s="2" t="s">
        <v>27</v>
      </c>
      <c r="I124" s="2" t="n">
        <v>4</v>
      </c>
      <c r="J124" s="7" t="n">
        <v>240</v>
      </c>
      <c r="K124" s="8" t="n">
        <v>0</v>
      </c>
      <c r="L124" s="7" t="n">
        <f aca="false">I124*J124*(1-K124)</f>
        <v>960</v>
      </c>
      <c r="M124" s="2" t="str">
        <f aca="false">TEXT(B124,"mmm")</f>
        <v>Nov</v>
      </c>
      <c r="N124" s="2" t="n">
        <f aca="false">MONTH(B124)</f>
        <v>11</v>
      </c>
    </row>
    <row r="125" customFormat="false" ht="15" hidden="false" customHeight="false" outlineLevel="0" collapsed="false">
      <c r="A125" s="2" t="s">
        <v>181</v>
      </c>
      <c r="B125" s="6" t="n">
        <v>45970</v>
      </c>
      <c r="C125" s="2" t="s">
        <v>12</v>
      </c>
      <c r="D125" s="2" t="s">
        <v>81</v>
      </c>
      <c r="E125" s="2" t="s">
        <v>221</v>
      </c>
      <c r="F125" s="2" t="s">
        <v>30</v>
      </c>
      <c r="G125" s="2" t="s">
        <v>66</v>
      </c>
      <c r="H125" s="2" t="s">
        <v>27</v>
      </c>
      <c r="I125" s="2" t="n">
        <v>16</v>
      </c>
      <c r="J125" s="7" t="n">
        <v>1800</v>
      </c>
      <c r="K125" s="8" t="n">
        <v>0.05</v>
      </c>
      <c r="L125" s="7" t="n">
        <f aca="false">I125*J125*(1-K125)</f>
        <v>27360</v>
      </c>
      <c r="M125" s="2" t="str">
        <f aca="false">TEXT(B125,"mmm")</f>
        <v>Nov</v>
      </c>
      <c r="N125" s="2" t="n">
        <f aca="false">MONTH(B125)</f>
        <v>11</v>
      </c>
    </row>
    <row r="126" customFormat="false" ht="15" hidden="false" customHeight="false" outlineLevel="0" collapsed="false">
      <c r="A126" s="2" t="s">
        <v>182</v>
      </c>
      <c r="B126" s="6" t="n">
        <v>45970</v>
      </c>
      <c r="C126" s="2" t="s">
        <v>61</v>
      </c>
      <c r="D126" s="2" t="s">
        <v>62</v>
      </c>
      <c r="E126" s="2" t="s">
        <v>14</v>
      </c>
      <c r="F126" s="2" t="s">
        <v>15</v>
      </c>
      <c r="G126" s="2" t="s">
        <v>16</v>
      </c>
      <c r="H126" s="2" t="s">
        <v>27</v>
      </c>
      <c r="I126" s="2" t="n">
        <v>19</v>
      </c>
      <c r="J126" s="7" t="n">
        <v>6500</v>
      </c>
      <c r="K126" s="8" t="n">
        <v>0</v>
      </c>
      <c r="L126" s="7" t="n">
        <f aca="false">I126*J126*(1-K126)</f>
        <v>123500</v>
      </c>
      <c r="M126" s="2" t="str">
        <f aca="false">TEXT(B126,"mmm")</f>
        <v>Nov</v>
      </c>
      <c r="N126" s="2" t="n">
        <f aca="false">MONTH(B126)</f>
        <v>11</v>
      </c>
    </row>
    <row r="127" customFormat="false" ht="15" hidden="false" customHeight="false" outlineLevel="0" collapsed="false">
      <c r="A127" s="2" t="s">
        <v>183</v>
      </c>
      <c r="B127" s="6" t="n">
        <v>45976</v>
      </c>
      <c r="C127" s="2" t="s">
        <v>40</v>
      </c>
      <c r="D127" s="2" t="s">
        <v>41</v>
      </c>
      <c r="E127" s="2" t="s">
        <v>44</v>
      </c>
      <c r="F127" s="2" t="s">
        <v>15</v>
      </c>
      <c r="G127" s="2" t="s">
        <v>16</v>
      </c>
      <c r="H127" s="2" t="s">
        <v>27</v>
      </c>
      <c r="I127" s="2" t="n">
        <v>5</v>
      </c>
      <c r="J127" s="7" t="n">
        <v>6500</v>
      </c>
      <c r="K127" s="8" t="n">
        <v>0.1</v>
      </c>
      <c r="L127" s="7" t="n">
        <f aca="false">I127*J127*(1-K127)</f>
        <v>29250</v>
      </c>
      <c r="M127" s="2" t="str">
        <f aca="false">TEXT(B127,"mmm")</f>
        <v>Nov</v>
      </c>
      <c r="N127" s="2" t="n">
        <f aca="false">MONTH(B127)</f>
        <v>11</v>
      </c>
    </row>
    <row r="128" customFormat="false" ht="15" hidden="false" customHeight="false" outlineLevel="0" collapsed="false">
      <c r="A128" s="2" t="s">
        <v>184</v>
      </c>
      <c r="B128" s="6" t="n">
        <v>45978</v>
      </c>
      <c r="C128" s="2" t="s">
        <v>61</v>
      </c>
      <c r="D128" s="2" t="s">
        <v>78</v>
      </c>
      <c r="E128" s="2" t="s">
        <v>21</v>
      </c>
      <c r="F128" s="2" t="s">
        <v>15</v>
      </c>
      <c r="G128" s="2" t="s">
        <v>42</v>
      </c>
      <c r="H128" s="2" t="s">
        <v>24</v>
      </c>
      <c r="I128" s="2" t="n">
        <v>4</v>
      </c>
      <c r="J128" s="7" t="n">
        <v>3800</v>
      </c>
      <c r="K128" s="8" t="n">
        <v>0.1</v>
      </c>
      <c r="L128" s="7" t="n">
        <f aca="false">I128*J128*(1-K128)</f>
        <v>13680</v>
      </c>
      <c r="M128" s="2" t="str">
        <f aca="false">TEXT(B128,"mmm")</f>
        <v>Nov</v>
      </c>
      <c r="N128" s="2" t="n">
        <f aca="false">MONTH(B128)</f>
        <v>11</v>
      </c>
    </row>
    <row r="129" customFormat="false" ht="15" hidden="false" customHeight="false" outlineLevel="0" collapsed="false">
      <c r="A129" s="2" t="s">
        <v>185</v>
      </c>
      <c r="B129" s="6" t="n">
        <v>45982</v>
      </c>
      <c r="C129" s="2" t="s">
        <v>12</v>
      </c>
      <c r="D129" s="2" t="s">
        <v>81</v>
      </c>
      <c r="E129" s="2" t="s">
        <v>26</v>
      </c>
      <c r="F129" s="2" t="s">
        <v>15</v>
      </c>
      <c r="G129" s="2" t="s">
        <v>16</v>
      </c>
      <c r="H129" s="2" t="s">
        <v>27</v>
      </c>
      <c r="I129" s="2" t="n">
        <v>20</v>
      </c>
      <c r="J129" s="7" t="n">
        <v>6500</v>
      </c>
      <c r="K129" s="8" t="n">
        <v>0.1</v>
      </c>
      <c r="L129" s="7" t="n">
        <f aca="false">I129*J129*(1-K129)</f>
        <v>117000</v>
      </c>
      <c r="M129" s="2" t="str">
        <f aca="false">TEXT(B129,"mmm")</f>
        <v>Nov</v>
      </c>
      <c r="N129" s="2" t="n">
        <f aca="false">MONTH(B129)</f>
        <v>11</v>
      </c>
    </row>
    <row r="130" customFormat="false" ht="15" hidden="false" customHeight="false" outlineLevel="0" collapsed="false">
      <c r="A130" s="2" t="s">
        <v>186</v>
      </c>
      <c r="B130" s="6" t="n">
        <v>45983</v>
      </c>
      <c r="C130" s="2" t="s">
        <v>40</v>
      </c>
      <c r="D130" s="2" t="s">
        <v>90</v>
      </c>
      <c r="E130" s="2" t="s">
        <v>34</v>
      </c>
      <c r="F130" s="2" t="s">
        <v>15</v>
      </c>
      <c r="G130" s="2" t="s">
        <v>42</v>
      </c>
      <c r="H130" s="2" t="s">
        <v>17</v>
      </c>
      <c r="I130" s="2" t="n">
        <v>14</v>
      </c>
      <c r="J130" s="7" t="n">
        <v>3800</v>
      </c>
      <c r="K130" s="8" t="n">
        <v>0.05</v>
      </c>
      <c r="L130" s="7" t="n">
        <f aca="false">I130*J130*(1-K130)</f>
        <v>50540</v>
      </c>
      <c r="M130" s="2" t="str">
        <f aca="false">TEXT(B130,"mmm")</f>
        <v>Nov</v>
      </c>
      <c r="N130" s="2" t="n">
        <f aca="false">MONTH(B130)</f>
        <v>11</v>
      </c>
    </row>
    <row r="131" customFormat="false" ht="15" hidden="false" customHeight="false" outlineLevel="0" collapsed="false">
      <c r="A131" s="2" t="s">
        <v>187</v>
      </c>
      <c r="B131" s="6" t="n">
        <v>45983</v>
      </c>
      <c r="C131" s="2" t="s">
        <v>61</v>
      </c>
      <c r="D131" s="2" t="s">
        <v>78</v>
      </c>
      <c r="E131" s="2" t="s">
        <v>34</v>
      </c>
      <c r="F131" s="2" t="s">
        <v>15</v>
      </c>
      <c r="G131" s="2" t="s">
        <v>42</v>
      </c>
      <c r="H131" s="2" t="s">
        <v>24</v>
      </c>
      <c r="I131" s="2" t="n">
        <v>3</v>
      </c>
      <c r="J131" s="7" t="n">
        <v>3800</v>
      </c>
      <c r="K131" s="8" t="n">
        <v>0</v>
      </c>
      <c r="L131" s="7" t="n">
        <f aca="false">I131*J131*(1-K131)</f>
        <v>11400</v>
      </c>
      <c r="M131" s="2" t="str">
        <f aca="false">TEXT(B131,"mmm")</f>
        <v>Nov</v>
      </c>
      <c r="N131" s="2" t="n">
        <f aca="false">MONTH(B131)</f>
        <v>11</v>
      </c>
    </row>
    <row r="132" customFormat="false" ht="15" hidden="false" customHeight="false" outlineLevel="0" collapsed="false">
      <c r="A132" s="2" t="s">
        <v>188</v>
      </c>
      <c r="B132" s="6" t="n">
        <v>45987</v>
      </c>
      <c r="C132" s="2" t="s">
        <v>12</v>
      </c>
      <c r="D132" s="2" t="s">
        <v>13</v>
      </c>
      <c r="E132" s="2" t="s">
        <v>44</v>
      </c>
      <c r="F132" s="2" t="s">
        <v>30</v>
      </c>
      <c r="G132" s="2" t="s">
        <v>31</v>
      </c>
      <c r="H132" s="2" t="s">
        <v>17</v>
      </c>
      <c r="I132" s="2" t="n">
        <v>15</v>
      </c>
      <c r="J132" s="7" t="n">
        <v>11999</v>
      </c>
      <c r="K132" s="8" t="n">
        <v>0.05</v>
      </c>
      <c r="L132" s="7" t="n">
        <f aca="false">I132*J132*(1-K132)</f>
        <v>170985.75</v>
      </c>
      <c r="M132" s="2" t="str">
        <f aca="false">TEXT(B132,"mmm")</f>
        <v>Nov</v>
      </c>
      <c r="N132" s="2" t="n">
        <f aca="false">MONTH(B132)</f>
        <v>11</v>
      </c>
    </row>
    <row r="133" customFormat="false" ht="15" hidden="false" customHeight="false" outlineLevel="0" collapsed="false">
      <c r="A133" s="2" t="s">
        <v>189</v>
      </c>
      <c r="B133" s="6" t="n">
        <v>45991</v>
      </c>
      <c r="C133" s="2" t="s">
        <v>12</v>
      </c>
      <c r="D133" s="2" t="s">
        <v>51</v>
      </c>
      <c r="E133" s="2" t="s">
        <v>21</v>
      </c>
      <c r="F133" s="2" t="s">
        <v>15</v>
      </c>
      <c r="G133" s="2" t="s">
        <v>42</v>
      </c>
      <c r="H133" s="2" t="s">
        <v>24</v>
      </c>
      <c r="I133" s="2" t="n">
        <v>17</v>
      </c>
      <c r="J133" s="7" t="n">
        <v>3800</v>
      </c>
      <c r="K133" s="8" t="n">
        <v>0.1</v>
      </c>
      <c r="L133" s="7" t="n">
        <f aca="false">I133*J133*(1-K133)</f>
        <v>58140</v>
      </c>
      <c r="M133" s="2" t="str">
        <f aca="false">TEXT(B133,"mmm")</f>
        <v>Nov</v>
      </c>
      <c r="N133" s="2" t="n">
        <f aca="false">MONTH(B133)</f>
        <v>11</v>
      </c>
    </row>
    <row r="134" customFormat="false" ht="15" hidden="false" customHeight="false" outlineLevel="0" collapsed="false">
      <c r="A134" s="2" t="s">
        <v>190</v>
      </c>
      <c r="B134" s="6" t="n">
        <v>45994</v>
      </c>
      <c r="C134" s="2" t="s">
        <v>61</v>
      </c>
      <c r="D134" s="2" t="s">
        <v>38</v>
      </c>
      <c r="E134" s="2" t="s">
        <v>34</v>
      </c>
      <c r="F134" s="2" t="s">
        <v>56</v>
      </c>
      <c r="G134" s="2" t="s">
        <v>79</v>
      </c>
      <c r="H134" s="2" t="s">
        <v>27</v>
      </c>
      <c r="I134" s="2" t="n">
        <v>1</v>
      </c>
      <c r="J134" s="7" t="n">
        <v>8900</v>
      </c>
      <c r="K134" s="8" t="n">
        <v>0</v>
      </c>
      <c r="L134" s="7" t="n">
        <f aca="false">I134*J134*(1-K134)</f>
        <v>8900</v>
      </c>
      <c r="M134" s="2" t="str">
        <f aca="false">TEXT(B134,"mmm")</f>
        <v>Dec</v>
      </c>
      <c r="N134" s="2" t="n">
        <f aca="false">MONTH(B134)</f>
        <v>12</v>
      </c>
    </row>
    <row r="135" customFormat="false" ht="15" hidden="false" customHeight="false" outlineLevel="0" collapsed="false">
      <c r="A135" s="2" t="s">
        <v>191</v>
      </c>
      <c r="B135" s="6" t="n">
        <v>45996</v>
      </c>
      <c r="C135" s="2" t="s">
        <v>19</v>
      </c>
      <c r="D135" s="2" t="s">
        <v>70</v>
      </c>
      <c r="E135" s="2" t="s">
        <v>26</v>
      </c>
      <c r="F135" s="2" t="s">
        <v>22</v>
      </c>
      <c r="G135" s="2" t="s">
        <v>35</v>
      </c>
      <c r="H135" s="2" t="s">
        <v>17</v>
      </c>
      <c r="I135" s="2" t="n">
        <v>14</v>
      </c>
      <c r="J135" s="7" t="n">
        <v>320</v>
      </c>
      <c r="K135" s="8" t="n">
        <v>0.1</v>
      </c>
      <c r="L135" s="7" t="n">
        <f aca="false">I135*J135*(1-K135)</f>
        <v>4032</v>
      </c>
      <c r="M135" s="2" t="str">
        <f aca="false">TEXT(B135,"mmm")</f>
        <v>Dec</v>
      </c>
      <c r="N135" s="2" t="n">
        <f aca="false">MONTH(B135)</f>
        <v>12</v>
      </c>
    </row>
    <row r="136" customFormat="false" ht="15" hidden="false" customHeight="false" outlineLevel="0" collapsed="false">
      <c r="A136" s="2" t="s">
        <v>192</v>
      </c>
      <c r="B136" s="6" t="n">
        <v>45996</v>
      </c>
      <c r="C136" s="2" t="s">
        <v>19</v>
      </c>
      <c r="D136" s="2" t="s">
        <v>20</v>
      </c>
      <c r="E136" s="2" t="s">
        <v>53</v>
      </c>
      <c r="F136" s="2" t="s">
        <v>22</v>
      </c>
      <c r="G136" s="2" t="s">
        <v>35</v>
      </c>
      <c r="H136" s="2" t="s">
        <v>27</v>
      </c>
      <c r="I136" s="2" t="n">
        <v>19</v>
      </c>
      <c r="J136" s="7" t="n">
        <v>320</v>
      </c>
      <c r="K136" s="8" t="n">
        <v>0</v>
      </c>
      <c r="L136" s="7" t="n">
        <f aca="false">I136*J136*(1-K136)</f>
        <v>6080</v>
      </c>
      <c r="M136" s="2" t="str">
        <f aca="false">TEXT(B136,"mmm")</f>
        <v>Dec</v>
      </c>
      <c r="N136" s="2" t="n">
        <f aca="false">MONTH(B136)</f>
        <v>12</v>
      </c>
    </row>
    <row r="137" customFormat="false" ht="15" hidden="false" customHeight="false" outlineLevel="0" collapsed="false">
      <c r="A137" s="2" t="s">
        <v>193</v>
      </c>
      <c r="B137" s="6" t="n">
        <v>45996</v>
      </c>
      <c r="C137" s="2" t="s">
        <v>12</v>
      </c>
      <c r="D137" s="2" t="s">
        <v>13</v>
      </c>
      <c r="E137" s="2" t="s">
        <v>44</v>
      </c>
      <c r="F137" s="2" t="s">
        <v>22</v>
      </c>
      <c r="G137" s="2" t="s">
        <v>23</v>
      </c>
      <c r="H137" s="2" t="s">
        <v>17</v>
      </c>
      <c r="I137" s="2" t="n">
        <v>4</v>
      </c>
      <c r="J137" s="7" t="n">
        <v>240</v>
      </c>
      <c r="K137" s="8" t="n">
        <v>0</v>
      </c>
      <c r="L137" s="7" t="n">
        <f aca="false">I137*J137*(1-K137)</f>
        <v>960</v>
      </c>
      <c r="M137" s="2" t="str">
        <f aca="false">TEXT(B137,"mmm")</f>
        <v>Dec</v>
      </c>
      <c r="N137" s="2" t="n">
        <f aca="false">MONTH(B137)</f>
        <v>12</v>
      </c>
    </row>
    <row r="138" customFormat="false" ht="15" hidden="false" customHeight="false" outlineLevel="0" collapsed="false">
      <c r="A138" s="2" t="s">
        <v>194</v>
      </c>
      <c r="B138" s="6" t="n">
        <v>45998</v>
      </c>
      <c r="C138" s="2" t="s">
        <v>19</v>
      </c>
      <c r="D138" s="2" t="s">
        <v>20</v>
      </c>
      <c r="E138" s="2" t="s">
        <v>26</v>
      </c>
      <c r="F138" s="2" t="s">
        <v>22</v>
      </c>
      <c r="G138" s="2" t="s">
        <v>47</v>
      </c>
      <c r="H138" s="2" t="s">
        <v>24</v>
      </c>
      <c r="I138" s="2" t="n">
        <v>3</v>
      </c>
      <c r="J138" s="7" t="n">
        <v>120</v>
      </c>
      <c r="K138" s="8" t="n">
        <v>0</v>
      </c>
      <c r="L138" s="7" t="n">
        <f aca="false">I138*J138*(1-K138)</f>
        <v>360</v>
      </c>
      <c r="M138" s="2" t="str">
        <f aca="false">TEXT(B138,"mmm")</f>
        <v>Dec</v>
      </c>
      <c r="N138" s="2" t="n">
        <f aca="false">MONTH(B138)</f>
        <v>12</v>
      </c>
    </row>
    <row r="139" customFormat="false" ht="15" hidden="false" customHeight="false" outlineLevel="0" collapsed="false">
      <c r="A139" s="2" t="s">
        <v>195</v>
      </c>
      <c r="B139" s="6" t="n">
        <v>45999</v>
      </c>
      <c r="C139" s="2" t="s">
        <v>12</v>
      </c>
      <c r="D139" s="2" t="s">
        <v>81</v>
      </c>
      <c r="E139" s="2" t="s">
        <v>26</v>
      </c>
      <c r="F139" s="2" t="s">
        <v>56</v>
      </c>
      <c r="G139" s="2" t="s">
        <v>57</v>
      </c>
      <c r="H139" s="2" t="s">
        <v>27</v>
      </c>
      <c r="I139" s="2" t="n">
        <v>15</v>
      </c>
      <c r="J139" s="7" t="n">
        <v>2600</v>
      </c>
      <c r="K139" s="8" t="n">
        <v>0.1</v>
      </c>
      <c r="L139" s="7" t="n">
        <f aca="false">I139*J139*(1-K139)</f>
        <v>35100</v>
      </c>
      <c r="M139" s="2" t="str">
        <f aca="false">TEXT(B139,"mmm")</f>
        <v>Dec</v>
      </c>
      <c r="N139" s="2" t="n">
        <f aca="false">MONTH(B139)</f>
        <v>12</v>
      </c>
    </row>
    <row r="140" customFormat="false" ht="15" hidden="false" customHeight="false" outlineLevel="0" collapsed="false">
      <c r="A140" s="2" t="s">
        <v>196</v>
      </c>
      <c r="B140" s="6" t="n">
        <v>46000</v>
      </c>
      <c r="C140" s="2" t="s">
        <v>40</v>
      </c>
      <c r="D140" s="2" t="s">
        <v>41</v>
      </c>
      <c r="E140" s="2" t="s">
        <v>26</v>
      </c>
      <c r="F140" s="2" t="s">
        <v>22</v>
      </c>
      <c r="G140" s="2" t="s">
        <v>47</v>
      </c>
      <c r="H140" s="2" t="s">
        <v>17</v>
      </c>
      <c r="I140" s="2" t="n">
        <v>7</v>
      </c>
      <c r="J140" s="7" t="n">
        <v>120</v>
      </c>
      <c r="K140" s="8" t="n">
        <v>0</v>
      </c>
      <c r="L140" s="7" t="n">
        <f aca="false">I140*J140*(1-K140)</f>
        <v>840</v>
      </c>
      <c r="M140" s="2" t="str">
        <f aca="false">TEXT(B140,"mmm")</f>
        <v>Dec</v>
      </c>
      <c r="N140" s="2" t="n">
        <f aca="false">MONTH(B140)</f>
        <v>12</v>
      </c>
    </row>
    <row r="141" customFormat="false" ht="15" hidden="false" customHeight="false" outlineLevel="0" collapsed="false">
      <c r="A141" s="2" t="s">
        <v>197</v>
      </c>
      <c r="B141" s="6" t="n">
        <v>46001</v>
      </c>
      <c r="C141" s="2" t="s">
        <v>61</v>
      </c>
      <c r="D141" s="2" t="s">
        <v>38</v>
      </c>
      <c r="E141" s="2" t="s">
        <v>21</v>
      </c>
      <c r="F141" s="2" t="s">
        <v>22</v>
      </c>
      <c r="G141" s="2" t="s">
        <v>47</v>
      </c>
      <c r="H141" s="2" t="s">
        <v>24</v>
      </c>
      <c r="I141" s="2" t="n">
        <v>7</v>
      </c>
      <c r="J141" s="7" t="n">
        <v>120</v>
      </c>
      <c r="K141" s="8" t="n">
        <v>0</v>
      </c>
      <c r="L141" s="7" t="n">
        <f aca="false">I141*J141*(1-K141)</f>
        <v>840</v>
      </c>
      <c r="M141" s="2" t="str">
        <f aca="false">TEXT(B141,"mmm")</f>
        <v>Dec</v>
      </c>
      <c r="N141" s="2" t="n">
        <f aca="false">MONTH(B141)</f>
        <v>12</v>
      </c>
    </row>
    <row r="142" customFormat="false" ht="15" hidden="false" customHeight="false" outlineLevel="0" collapsed="false">
      <c r="A142" s="2" t="s">
        <v>198</v>
      </c>
      <c r="B142" s="6" t="n">
        <v>46004</v>
      </c>
      <c r="C142" s="2" t="s">
        <v>12</v>
      </c>
      <c r="D142" s="2" t="s">
        <v>81</v>
      </c>
      <c r="E142" s="2" t="s">
        <v>29</v>
      </c>
      <c r="F142" s="2" t="s">
        <v>56</v>
      </c>
      <c r="G142" s="2" t="s">
        <v>79</v>
      </c>
      <c r="H142" s="2" t="s">
        <v>24</v>
      </c>
      <c r="I142" s="2" t="n">
        <v>13</v>
      </c>
      <c r="J142" s="7" t="n">
        <v>8900</v>
      </c>
      <c r="K142" s="8" t="n">
        <v>0.1</v>
      </c>
      <c r="L142" s="7" t="n">
        <f aca="false">I142*J142*(1-K142)</f>
        <v>104130</v>
      </c>
      <c r="M142" s="2" t="str">
        <f aca="false">TEXT(B142,"mmm")</f>
        <v>Dec</v>
      </c>
      <c r="N142" s="2" t="n">
        <f aca="false">MONTH(B142)</f>
        <v>12</v>
      </c>
    </row>
    <row r="143" customFormat="false" ht="15" hidden="false" customHeight="false" outlineLevel="0" collapsed="false">
      <c r="A143" s="2" t="s">
        <v>199</v>
      </c>
      <c r="B143" s="6" t="n">
        <v>46004</v>
      </c>
      <c r="C143" s="2" t="s">
        <v>40</v>
      </c>
      <c r="D143" s="2" t="s">
        <v>90</v>
      </c>
      <c r="E143" s="2" t="s">
        <v>29</v>
      </c>
      <c r="F143" s="2" t="s">
        <v>30</v>
      </c>
      <c r="G143" s="2" t="s">
        <v>86</v>
      </c>
      <c r="H143" s="2" t="s">
        <v>17</v>
      </c>
      <c r="I143" s="2" t="n">
        <v>10</v>
      </c>
      <c r="J143" s="7" t="n">
        <v>42500</v>
      </c>
      <c r="K143" s="8" t="n">
        <v>0.05</v>
      </c>
      <c r="L143" s="7" t="n">
        <f aca="false">I143*J143*(1-K143)</f>
        <v>403750</v>
      </c>
      <c r="M143" s="2" t="str">
        <f aca="false">TEXT(B143,"mmm")</f>
        <v>Dec</v>
      </c>
      <c r="N143" s="2" t="n">
        <f aca="false">MONTH(B143)</f>
        <v>12</v>
      </c>
    </row>
    <row r="144" customFormat="false" ht="15" hidden="false" customHeight="false" outlineLevel="0" collapsed="false">
      <c r="A144" s="2" t="s">
        <v>200</v>
      </c>
      <c r="B144" s="6" t="n">
        <v>46006</v>
      </c>
      <c r="C144" s="2" t="s">
        <v>40</v>
      </c>
      <c r="D144" s="2" t="s">
        <v>41</v>
      </c>
      <c r="E144" s="2" t="s">
        <v>65</v>
      </c>
      <c r="F144" s="2" t="s">
        <v>22</v>
      </c>
      <c r="G144" s="2" t="s">
        <v>35</v>
      </c>
      <c r="H144" s="2" t="s">
        <v>24</v>
      </c>
      <c r="I144" s="2" t="n">
        <v>1</v>
      </c>
      <c r="J144" s="7" t="n">
        <v>320</v>
      </c>
      <c r="K144" s="8" t="n">
        <v>0.1</v>
      </c>
      <c r="L144" s="7" t="n">
        <f aca="false">I144*J144*(1-K144)</f>
        <v>288</v>
      </c>
      <c r="M144" s="2" t="str">
        <f aca="false">TEXT(B144,"mmm")</f>
        <v>Dec</v>
      </c>
      <c r="N144" s="2" t="n">
        <f aca="false">MONTH(B144)</f>
        <v>12</v>
      </c>
    </row>
    <row r="145" customFormat="false" ht="15" hidden="false" customHeight="false" outlineLevel="0" collapsed="false">
      <c r="A145" s="2" t="s">
        <v>201</v>
      </c>
      <c r="B145" s="6" t="n">
        <v>46009</v>
      </c>
      <c r="C145" s="2" t="s">
        <v>61</v>
      </c>
      <c r="D145" s="2" t="s">
        <v>78</v>
      </c>
      <c r="E145" s="2" t="s">
        <v>34</v>
      </c>
      <c r="F145" s="2" t="s">
        <v>22</v>
      </c>
      <c r="G145" s="2" t="s">
        <v>47</v>
      </c>
      <c r="H145" s="2" t="s">
        <v>17</v>
      </c>
      <c r="I145" s="2" t="n">
        <v>5</v>
      </c>
      <c r="J145" s="7" t="n">
        <v>120</v>
      </c>
      <c r="K145" s="8" t="n">
        <v>0</v>
      </c>
      <c r="L145" s="7" t="n">
        <f aca="false">I145*J145*(1-K145)</f>
        <v>600</v>
      </c>
      <c r="M145" s="2" t="str">
        <f aca="false">TEXT(B145,"mmm")</f>
        <v>Dec</v>
      </c>
      <c r="N145" s="2" t="n">
        <f aca="false">MONTH(B145)</f>
        <v>12</v>
      </c>
    </row>
    <row r="146" customFormat="false" ht="15" hidden="false" customHeight="false" outlineLevel="0" collapsed="false">
      <c r="A146" s="2" t="s">
        <v>202</v>
      </c>
      <c r="B146" s="6" t="n">
        <v>46011</v>
      </c>
      <c r="C146" s="2" t="s">
        <v>12</v>
      </c>
      <c r="D146" s="2" t="s">
        <v>51</v>
      </c>
      <c r="E146" s="2" t="s">
        <v>53</v>
      </c>
      <c r="F146" s="2" t="s">
        <v>56</v>
      </c>
      <c r="G146" s="2" t="s">
        <v>57</v>
      </c>
      <c r="H146" s="2" t="s">
        <v>24</v>
      </c>
      <c r="I146" s="2" t="n">
        <v>18</v>
      </c>
      <c r="J146" s="7" t="n">
        <v>2600</v>
      </c>
      <c r="K146" s="8" t="n">
        <v>0</v>
      </c>
      <c r="L146" s="7" t="n">
        <f aca="false">I146*J146*(1-K146)</f>
        <v>46800</v>
      </c>
      <c r="M146" s="2" t="str">
        <f aca="false">TEXT(B146,"mmm")</f>
        <v>Dec</v>
      </c>
      <c r="N146" s="2" t="n">
        <f aca="false">MONTH(B146)</f>
        <v>12</v>
      </c>
    </row>
    <row r="147" customFormat="false" ht="15" hidden="false" customHeight="false" outlineLevel="0" collapsed="false">
      <c r="A147" s="2" t="s">
        <v>203</v>
      </c>
      <c r="B147" s="6" t="n">
        <v>46011</v>
      </c>
      <c r="C147" s="2" t="s">
        <v>40</v>
      </c>
      <c r="D147" s="2" t="s">
        <v>41</v>
      </c>
      <c r="E147" s="2" t="s">
        <v>53</v>
      </c>
      <c r="F147" s="2" t="s">
        <v>15</v>
      </c>
      <c r="G147" s="2" t="s">
        <v>49</v>
      </c>
      <c r="H147" s="2" t="s">
        <v>17</v>
      </c>
      <c r="I147" s="2" t="n">
        <v>19</v>
      </c>
      <c r="J147" s="7" t="n">
        <v>4200</v>
      </c>
      <c r="K147" s="8" t="n">
        <v>0</v>
      </c>
      <c r="L147" s="7" t="n">
        <f aca="false">I147*J147*(1-K147)</f>
        <v>79800</v>
      </c>
      <c r="M147" s="2" t="str">
        <f aca="false">TEXT(B147,"mmm")</f>
        <v>Dec</v>
      </c>
      <c r="N147" s="2" t="n">
        <f aca="false">MONTH(B147)</f>
        <v>12</v>
      </c>
    </row>
    <row r="148" customFormat="false" ht="15" hidden="false" customHeight="false" outlineLevel="0" collapsed="false">
      <c r="A148" s="2" t="s">
        <v>204</v>
      </c>
      <c r="B148" s="6" t="n">
        <v>46011</v>
      </c>
      <c r="C148" s="2" t="s">
        <v>61</v>
      </c>
      <c r="D148" s="2" t="s">
        <v>78</v>
      </c>
      <c r="E148" s="2" t="s">
        <v>21</v>
      </c>
      <c r="F148" s="2" t="s">
        <v>22</v>
      </c>
      <c r="G148" s="2" t="s">
        <v>35</v>
      </c>
      <c r="H148" s="2" t="s">
        <v>27</v>
      </c>
      <c r="I148" s="2" t="n">
        <v>14</v>
      </c>
      <c r="J148" s="7" t="n">
        <v>320</v>
      </c>
      <c r="K148" s="8" t="n">
        <v>0</v>
      </c>
      <c r="L148" s="7" t="n">
        <f aca="false">I148*J148*(1-K148)</f>
        <v>4480</v>
      </c>
      <c r="M148" s="2" t="str">
        <f aca="false">TEXT(B148,"mmm")</f>
        <v>Dec</v>
      </c>
      <c r="N148" s="2" t="n">
        <f aca="false">MONTH(B148)</f>
        <v>12</v>
      </c>
    </row>
    <row r="149" customFormat="false" ht="15" hidden="false" customHeight="false" outlineLevel="0" collapsed="false">
      <c r="A149" s="2" t="s">
        <v>205</v>
      </c>
      <c r="B149" s="6" t="n">
        <v>46015</v>
      </c>
      <c r="C149" s="2" t="s">
        <v>61</v>
      </c>
      <c r="D149" s="2" t="s">
        <v>78</v>
      </c>
      <c r="E149" s="2" t="s">
        <v>34</v>
      </c>
      <c r="F149" s="2" t="s">
        <v>15</v>
      </c>
      <c r="G149" s="2" t="s">
        <v>16</v>
      </c>
      <c r="H149" s="2" t="s">
        <v>17</v>
      </c>
      <c r="I149" s="2" t="n">
        <v>15</v>
      </c>
      <c r="J149" s="7" t="n">
        <v>6500</v>
      </c>
      <c r="K149" s="8" t="n">
        <v>0</v>
      </c>
      <c r="L149" s="7" t="n">
        <f aca="false">I149*J149*(1-K149)</f>
        <v>97500</v>
      </c>
      <c r="M149" s="2" t="str">
        <f aca="false">TEXT(B149,"mmm")</f>
        <v>Dec</v>
      </c>
      <c r="N149" s="2" t="n">
        <f aca="false">MONTH(B149)</f>
        <v>12</v>
      </c>
    </row>
    <row r="150" customFormat="false" ht="15" hidden="false" customHeight="false" outlineLevel="0" collapsed="false">
      <c r="A150" s="2" t="s">
        <v>206</v>
      </c>
      <c r="B150" s="6" t="n">
        <v>46018</v>
      </c>
      <c r="C150" s="2" t="s">
        <v>61</v>
      </c>
      <c r="D150" s="2" t="s">
        <v>62</v>
      </c>
      <c r="E150" s="2" t="s">
        <v>21</v>
      </c>
      <c r="F150" s="2" t="s">
        <v>15</v>
      </c>
      <c r="G150" s="2" t="s">
        <v>16</v>
      </c>
      <c r="H150" s="2" t="s">
        <v>24</v>
      </c>
      <c r="I150" s="2" t="n">
        <v>18</v>
      </c>
      <c r="J150" s="7" t="n">
        <v>6500</v>
      </c>
      <c r="K150" s="8" t="n">
        <v>0.1</v>
      </c>
      <c r="L150" s="7" t="n">
        <f aca="false">I150*J150*(1-K150)</f>
        <v>105300</v>
      </c>
      <c r="M150" s="2" t="str">
        <f aca="false">TEXT(B150,"mmm")</f>
        <v>Dec</v>
      </c>
      <c r="N150" s="2" t="n">
        <f aca="false">MONTH(B150)</f>
        <v>12</v>
      </c>
    </row>
    <row r="151" customFormat="false" ht="15" hidden="false" customHeight="false" outlineLevel="0" collapsed="false">
      <c r="A151" s="2" t="s">
        <v>207</v>
      </c>
      <c r="B151" s="6" t="n">
        <v>46019</v>
      </c>
      <c r="C151" s="2" t="s">
        <v>40</v>
      </c>
      <c r="D151" s="2" t="s">
        <v>90</v>
      </c>
      <c r="E151" s="2" t="s">
        <v>21</v>
      </c>
      <c r="F151" s="2" t="s">
        <v>30</v>
      </c>
      <c r="G151" s="2" t="s">
        <v>66</v>
      </c>
      <c r="H151" s="2" t="s">
        <v>24</v>
      </c>
      <c r="I151" s="2" t="n">
        <v>10</v>
      </c>
      <c r="J151" s="7" t="n">
        <v>1800</v>
      </c>
      <c r="K151" s="8" t="n">
        <v>0.05</v>
      </c>
      <c r="L151" s="7" t="n">
        <f aca="false">I151*J151*(1-K151)</f>
        <v>17100</v>
      </c>
      <c r="M151" s="2" t="str">
        <f aca="false">TEXT(B151,"mmm")</f>
        <v>Dec</v>
      </c>
      <c r="N151" s="2" t="n">
        <f aca="false">MONTH(B151)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5"/>
    <col collapsed="false" customWidth="true" hidden="false" outlineLevel="0" max="5" min="5" style="0" width="18"/>
  </cols>
  <sheetData>
    <row r="1" customFormat="false" ht="16.15" hidden="false" customHeight="false" outlineLevel="0" collapsed="false">
      <c r="A1" s="4" t="s">
        <v>222</v>
      </c>
      <c r="B1" s="2"/>
      <c r="C1" s="2"/>
      <c r="D1" s="2"/>
      <c r="E1" s="2"/>
    </row>
    <row r="2" customFormat="false" ht="15" hidden="false" customHeight="false" outlineLevel="0" collapsed="false">
      <c r="A2" s="9" t="s">
        <v>223</v>
      </c>
      <c r="B2" s="9" t="s">
        <v>224</v>
      </c>
      <c r="C2" s="9" t="s">
        <v>225</v>
      </c>
      <c r="D2" s="9" t="s">
        <v>226</v>
      </c>
      <c r="E2" s="9" t="s">
        <v>227</v>
      </c>
    </row>
    <row r="3" customFormat="false" ht="19.7" hidden="false" customHeight="false" outlineLevel="0" collapsed="false">
      <c r="A3" s="10" t="n">
        <f aca="false">SUM(Cleaned_Data!L2:L151)</f>
        <v>11922513.45</v>
      </c>
      <c r="B3" s="10" t="n">
        <f aca="false">COUNTA(Cleaned_Data!A2:A151)</f>
        <v>150</v>
      </c>
      <c r="C3" s="10" t="n">
        <f aca="false">SUM(Cleaned_Data!I2:I151)</f>
        <v>2029</v>
      </c>
      <c r="D3" s="10" t="n">
        <f aca="false">AVERAGE(Cleaned_Data!L2:L151)</f>
        <v>79483.423</v>
      </c>
      <c r="E3" s="11" t="n">
        <f aca="false">AVERAGE(Cleaned_Data!K2:K151)</f>
        <v>0.0323333333333333</v>
      </c>
    </row>
    <row r="4" customFormat="false" ht="15" hidden="false" customHeight="false" outlineLevel="0" collapsed="false">
      <c r="A4" s="2"/>
      <c r="B4" s="2"/>
      <c r="C4" s="2"/>
      <c r="D4" s="2"/>
      <c r="E4" s="2"/>
    </row>
    <row r="5" customFormat="false" ht="15" hidden="false" customHeight="false" outlineLevel="0" collapsed="false">
      <c r="A5" s="2"/>
      <c r="B5" s="2"/>
      <c r="C5" s="2"/>
      <c r="D5" s="2"/>
      <c r="E5" s="2"/>
    </row>
    <row r="6" customFormat="false" ht="15" hidden="false" customHeight="false" outlineLevel="0" collapsed="false">
      <c r="A6" s="12" t="s">
        <v>228</v>
      </c>
      <c r="B6" s="2"/>
      <c r="C6" s="2"/>
      <c r="D6" s="2"/>
      <c r="E6" s="2"/>
    </row>
    <row r="7" customFormat="false" ht="15" hidden="false" customHeight="false" outlineLevel="0" collapsed="false">
      <c r="A7" s="13" t="s">
        <v>2</v>
      </c>
      <c r="B7" s="13" t="s">
        <v>229</v>
      </c>
      <c r="C7" s="13" t="s">
        <v>230</v>
      </c>
      <c r="D7" s="13" t="s">
        <v>231</v>
      </c>
      <c r="E7" s="2"/>
    </row>
    <row r="8" customFormat="false" ht="15" hidden="false" customHeight="false" outlineLevel="0" collapsed="false">
      <c r="A8" s="2" t="s">
        <v>40</v>
      </c>
      <c r="B8" s="7" t="n">
        <f aca="false">SUMIF(Cleaned_Data!C2:C151,"East",Cleaned_Data!L2:L151)</f>
        <v>5321204</v>
      </c>
      <c r="C8" s="2" t="n">
        <f aca="false">COUNTIF(Cleaned_Data!C2:C151,"East")</f>
        <v>38</v>
      </c>
      <c r="D8" s="7" t="n">
        <f aca="false">SUMIF(Cleaned_Data!C2:C151,"East",Cleaned_Data!I2:I151)</f>
        <v>494</v>
      </c>
      <c r="E8" s="2"/>
    </row>
    <row r="9" customFormat="false" ht="15" hidden="false" customHeight="false" outlineLevel="0" collapsed="false">
      <c r="A9" s="2" t="s">
        <v>19</v>
      </c>
      <c r="B9" s="7" t="n">
        <f aca="false">SUMIF(Cleaned_Data!C2:C151,"North",Cleaned_Data!L2:L151)</f>
        <v>2191983</v>
      </c>
      <c r="C9" s="2" t="n">
        <f aca="false">COUNTIF(Cleaned_Data!C2:C151,"North")</f>
        <v>43</v>
      </c>
      <c r="D9" s="7" t="n">
        <f aca="false">SUMIF(Cleaned_Data!C2:C151,"North",Cleaned_Data!I2:I151)</f>
        <v>586</v>
      </c>
      <c r="E9" s="2"/>
    </row>
    <row r="10" customFormat="false" ht="15" hidden="false" customHeight="false" outlineLevel="0" collapsed="false">
      <c r="A10" s="2" t="s">
        <v>61</v>
      </c>
      <c r="B10" s="7" t="n">
        <f aca="false">SUMIF(Cleaned_Data!C2:C151,"South",Cleaned_Data!L2:L151)</f>
        <v>2436349.5</v>
      </c>
      <c r="C10" s="2" t="n">
        <f aca="false">COUNTIF(Cleaned_Data!C2:C151,"South")</f>
        <v>31</v>
      </c>
      <c r="D10" s="7" t="n">
        <f aca="false">SUMIF(Cleaned_Data!C2:C151,"South",Cleaned_Data!I2:I151)</f>
        <v>412</v>
      </c>
      <c r="E10" s="2"/>
    </row>
    <row r="11" customFormat="false" ht="15" hidden="false" customHeight="false" outlineLevel="0" collapsed="false">
      <c r="A11" s="2" t="s">
        <v>12</v>
      </c>
      <c r="B11" s="7" t="n">
        <f aca="false">SUMIF(Cleaned_Data!C2:C151,"West",Cleaned_Data!L2:L151)</f>
        <v>1972976.95</v>
      </c>
      <c r="C11" s="2" t="n">
        <f aca="false">COUNTIF(Cleaned_Data!C2:C151,"West")</f>
        <v>38</v>
      </c>
      <c r="D11" s="7" t="n">
        <f aca="false">SUMIF(Cleaned_Data!C2:C151,"West",Cleaned_Data!I2:I151)</f>
        <v>537</v>
      </c>
      <c r="E11" s="2"/>
    </row>
    <row r="12" customFormat="false" ht="15" hidden="false" customHeight="false" outlineLevel="0" collapsed="false">
      <c r="A12" s="2"/>
      <c r="B12" s="2"/>
      <c r="C12" s="2"/>
      <c r="D12" s="2"/>
      <c r="E12" s="2"/>
    </row>
    <row r="13" customFormat="false" ht="15" hidden="false" customHeight="false" outlineLevel="0" collapsed="false">
      <c r="A13" s="2"/>
      <c r="B13" s="2"/>
      <c r="C13" s="2"/>
      <c r="D13" s="2"/>
      <c r="E13" s="2"/>
    </row>
    <row r="14" customFormat="false" ht="15" hidden="false" customHeight="false" outlineLevel="0" collapsed="false">
      <c r="A14" s="12" t="s">
        <v>232</v>
      </c>
      <c r="B14" s="2"/>
      <c r="C14" s="2"/>
      <c r="D14" s="2"/>
      <c r="E14" s="2"/>
    </row>
    <row r="15" customFormat="false" ht="15" hidden="false" customHeight="false" outlineLevel="0" collapsed="false">
      <c r="A15" s="13" t="s">
        <v>5</v>
      </c>
      <c r="B15" s="13" t="s">
        <v>229</v>
      </c>
      <c r="C15" s="13" t="s">
        <v>230</v>
      </c>
      <c r="D15" s="13" t="s">
        <v>231</v>
      </c>
      <c r="E15" s="2"/>
    </row>
    <row r="16" customFormat="false" ht="15" hidden="false" customHeight="false" outlineLevel="0" collapsed="false">
      <c r="A16" s="2" t="s">
        <v>56</v>
      </c>
      <c r="B16" s="7" t="n">
        <f aca="false">SUMIF(Cleaned_Data!F2:F151,"Appliances",Cleaned_Data!L2:L151)</f>
        <v>2017255</v>
      </c>
      <c r="C16" s="2" t="n">
        <f aca="false">COUNTIF(Cleaned_Data!F2:F151,"Appliances")</f>
        <v>35</v>
      </c>
      <c r="D16" s="7" t="n">
        <f aca="false">SUMIF(Cleaned_Data!F2:F151,"Appliances",Cleaned_Data!I2:I151)</f>
        <v>485</v>
      </c>
      <c r="E16" s="2"/>
    </row>
    <row r="17" customFormat="false" ht="15" hidden="false" customHeight="false" outlineLevel="0" collapsed="false">
      <c r="A17" s="2" t="s">
        <v>30</v>
      </c>
      <c r="B17" s="7" t="n">
        <f aca="false">SUMIF(Cleaned_Data!F2:F151,"Electronics",Cleaned_Data!L2:L151)</f>
        <v>7651326.45</v>
      </c>
      <c r="C17" s="2" t="n">
        <f aca="false">COUNTIF(Cleaned_Data!F2:F151,"Electronics")</f>
        <v>31</v>
      </c>
      <c r="D17" s="7" t="n">
        <f aca="false">SUMIF(Cleaned_Data!F2:F151,"Electronics",Cleaned_Data!I2:I151)</f>
        <v>476</v>
      </c>
      <c r="E17" s="2"/>
    </row>
    <row r="18" customFormat="false" ht="15" hidden="false" customHeight="false" outlineLevel="0" collapsed="false">
      <c r="A18" s="2" t="s">
        <v>15</v>
      </c>
      <c r="B18" s="7" t="n">
        <f aca="false">SUMIF(Cleaned_Data!F2:F151,"Furniture",Cleaned_Data!L2:L151)</f>
        <v>2119190</v>
      </c>
      <c r="C18" s="2" t="n">
        <f aca="false">COUNTIF(Cleaned_Data!F2:F151,"Furniture")</f>
        <v>36</v>
      </c>
      <c r="D18" s="7" t="n">
        <f aca="false">SUMIF(Cleaned_Data!F2:F151,"Furniture",Cleaned_Data!I2:I151)</f>
        <v>451</v>
      </c>
      <c r="E18" s="2"/>
    </row>
    <row r="19" customFormat="false" ht="15" hidden="false" customHeight="false" outlineLevel="0" collapsed="false">
      <c r="A19" s="2" t="s">
        <v>22</v>
      </c>
      <c r="B19" s="7" t="n">
        <f aca="false">SUMIF(Cleaned_Data!F2:F151,"Stationery",Cleaned_Data!L2:L151)</f>
        <v>134742</v>
      </c>
      <c r="C19" s="2" t="n">
        <f aca="false">COUNTIF(Cleaned_Data!F2:F151,"Stationery")</f>
        <v>48</v>
      </c>
      <c r="D19" s="7" t="n">
        <f aca="false">SUMIF(Cleaned_Data!F2:F151,"Stationery",Cleaned_Data!I2:I151)</f>
        <v>617</v>
      </c>
      <c r="E19" s="2"/>
    </row>
    <row r="20" customFormat="false" ht="15" hidden="false" customHeight="false" outlineLevel="0" collapsed="false">
      <c r="A20" s="2"/>
      <c r="B20" s="2"/>
      <c r="C20" s="2"/>
      <c r="D20" s="2"/>
      <c r="E20" s="2"/>
    </row>
    <row r="21" customFormat="false" ht="15" hidden="false" customHeight="false" outlineLevel="0" collapsed="false">
      <c r="A21" s="2"/>
      <c r="B21" s="2"/>
      <c r="C21" s="2"/>
      <c r="D21" s="2"/>
      <c r="E21" s="2"/>
    </row>
    <row r="22" customFormat="false" ht="15" hidden="false" customHeight="false" outlineLevel="0" collapsed="false">
      <c r="A22" s="12" t="s">
        <v>233</v>
      </c>
      <c r="B22" s="2"/>
      <c r="C22" s="2"/>
      <c r="D22" s="2"/>
      <c r="E22" s="2"/>
    </row>
    <row r="23" customFormat="false" ht="15" hidden="false" customHeight="false" outlineLevel="0" collapsed="false">
      <c r="A23" s="13" t="s">
        <v>234</v>
      </c>
      <c r="B23" s="13" t="s">
        <v>229</v>
      </c>
      <c r="C23" s="13" t="s">
        <v>230</v>
      </c>
      <c r="D23" s="13" t="s">
        <v>231</v>
      </c>
      <c r="E23" s="2"/>
    </row>
    <row r="24" customFormat="false" ht="15" hidden="false" customHeight="false" outlineLevel="0" collapsed="false">
      <c r="A24" s="2" t="s">
        <v>24</v>
      </c>
      <c r="B24" s="7" t="n">
        <f aca="false">SUMIF(Cleaned_Data!H2:H151,"Online",Cleaned_Data!L2:L151)</f>
        <v>1517619.5</v>
      </c>
      <c r="C24" s="2" t="n">
        <f aca="false">COUNTIF(Cleaned_Data!H2:H151,"Online")</f>
        <v>47</v>
      </c>
      <c r="D24" s="7" t="n">
        <f aca="false">SUMIF(Cleaned_Data!H2:H151,"Online",Cleaned_Data!I2:I151)</f>
        <v>590</v>
      </c>
      <c r="E24" s="2"/>
    </row>
    <row r="25" customFormat="false" ht="15" hidden="false" customHeight="false" outlineLevel="0" collapsed="false">
      <c r="A25" s="2" t="s">
        <v>17</v>
      </c>
      <c r="B25" s="7" t="n">
        <f aca="false">SUMIF(Cleaned_Data!H2:H151,"Retail",Cleaned_Data!L2:L151)</f>
        <v>6347073.25</v>
      </c>
      <c r="C25" s="2" t="n">
        <f aca="false">COUNTIF(Cleaned_Data!H2:H151,"Retail")</f>
        <v>55</v>
      </c>
      <c r="D25" s="7" t="n">
        <f aca="false">SUMIF(Cleaned_Data!H2:H151,"Retail",Cleaned_Data!I2:I151)</f>
        <v>805</v>
      </c>
      <c r="E25" s="2"/>
    </row>
    <row r="26" customFormat="false" ht="15" hidden="false" customHeight="false" outlineLevel="0" collapsed="false">
      <c r="A26" s="2" t="s">
        <v>27</v>
      </c>
      <c r="B26" s="7" t="n">
        <f aca="false">SUMIF(Cleaned_Data!H2:H151,"Wholesale",Cleaned_Data!L2:L151)</f>
        <v>4057820.7</v>
      </c>
      <c r="C26" s="2" t="n">
        <f aca="false">COUNTIF(Cleaned_Data!H2:H151,"Wholesale")</f>
        <v>48</v>
      </c>
      <c r="D26" s="7" t="n">
        <f aca="false">SUMIF(Cleaned_Data!H2:H151,"Wholesale",Cleaned_Data!I2:I151)</f>
        <v>634</v>
      </c>
      <c r="E26" s="2"/>
    </row>
    <row r="27" customFormat="false" ht="15" hidden="false" customHeight="false" outlineLevel="0" collapsed="false">
      <c r="A27" s="2"/>
      <c r="B27" s="2"/>
      <c r="C27" s="2"/>
      <c r="D27" s="2"/>
      <c r="E27" s="2"/>
    </row>
    <row r="28" customFormat="false" ht="15" hidden="false" customHeight="false" outlineLevel="0" collapsed="false">
      <c r="A28" s="2"/>
      <c r="B28" s="2"/>
      <c r="C28" s="2"/>
      <c r="D28" s="2"/>
      <c r="E28" s="2"/>
    </row>
    <row r="29" customFormat="false" ht="15" hidden="false" customHeight="false" outlineLevel="0" collapsed="false">
      <c r="A29" s="12" t="s">
        <v>235</v>
      </c>
      <c r="B29" s="2"/>
      <c r="C29" s="2"/>
      <c r="D29" s="2"/>
      <c r="E29" s="2"/>
    </row>
    <row r="30" customFormat="false" ht="15" hidden="false" customHeight="false" outlineLevel="0" collapsed="false">
      <c r="A30" s="13" t="s">
        <v>4</v>
      </c>
      <c r="B30" s="13" t="s">
        <v>229</v>
      </c>
      <c r="C30" s="13" t="s">
        <v>230</v>
      </c>
      <c r="D30" s="13" t="s">
        <v>231</v>
      </c>
      <c r="E30" s="2"/>
    </row>
    <row r="31" customFormat="false" ht="15" hidden="false" customHeight="false" outlineLevel="0" collapsed="false">
      <c r="A31" s="2" t="s">
        <v>44</v>
      </c>
      <c r="B31" s="7" t="n">
        <f aca="false">SUMIF(Cleaned_Data!E2:E151,"Amit Sharma",Cleaned_Data!L2:L151)</f>
        <v>1469612.75</v>
      </c>
      <c r="C31" s="2" t="n">
        <f aca="false">COUNTIF(Cleaned_Data!E2:E151,"Amit Sharma")</f>
        <v>22</v>
      </c>
      <c r="D31" s="7" t="n">
        <f aca="false">SUMIF(Cleaned_Data!E2:E151,"Amit Sharma",Cleaned_Data!I2:I151)</f>
        <v>263</v>
      </c>
      <c r="E31" s="2"/>
    </row>
    <row r="32" customFormat="false" ht="15" hidden="false" customHeight="false" outlineLevel="0" collapsed="false">
      <c r="A32" s="2" t="s">
        <v>34</v>
      </c>
      <c r="B32" s="7" t="n">
        <f aca="false">SUMIF(Cleaned_Data!E2:E151,"Kavita Joshi",Cleaned_Data!L2:L151)</f>
        <v>1582548</v>
      </c>
      <c r="C32" s="2" t="n">
        <f aca="false">COUNTIF(Cleaned_Data!E2:E151,"Kavita Joshi")</f>
        <v>24</v>
      </c>
      <c r="D32" s="7" t="n">
        <f aca="false">SUMIF(Cleaned_Data!E2:E151,"Kavita Joshi",Cleaned_Data!I2:I151)</f>
        <v>321</v>
      </c>
      <c r="E32" s="2"/>
    </row>
    <row r="33" customFormat="false" ht="15" hidden="false" customHeight="false" outlineLevel="0" collapsed="false">
      <c r="A33" s="2" t="s">
        <v>53</v>
      </c>
      <c r="B33" s="7" t="n">
        <f aca="false">SUMIF(Cleaned_Data!E2:E151,"Neha Gupta",Cleaned_Data!L2:L151)</f>
        <v>1324786.8</v>
      </c>
      <c r="C33" s="2" t="n">
        <f aca="false">COUNTIF(Cleaned_Data!E2:E151,"Neha Gupta")</f>
        <v>19</v>
      </c>
      <c r="D33" s="7" t="n">
        <f aca="false">SUMIF(Cleaned_Data!E2:E151,"Neha Gupta",Cleaned_Data!I2:I151)</f>
        <v>277</v>
      </c>
      <c r="E33" s="2"/>
    </row>
    <row r="34" customFormat="false" ht="15" hidden="false" customHeight="false" outlineLevel="0" collapsed="false">
      <c r="A34" s="2" t="s">
        <v>26</v>
      </c>
      <c r="B34" s="7" t="n">
        <f aca="false">SUMIF(Cleaned_Data!E2:E151,"Pooja Meena",Cleaned_Data!L2:L151)</f>
        <v>881412</v>
      </c>
      <c r="C34" s="2" t="n">
        <f aca="false">COUNTIF(Cleaned_Data!E2:E151,"Pooja Meena")</f>
        <v>16</v>
      </c>
      <c r="D34" s="7" t="n">
        <f aca="false">SUMIF(Cleaned_Data!E2:E151,"Pooja Meena",Cleaned_Data!I2:I151)</f>
        <v>169</v>
      </c>
      <c r="E34" s="2"/>
    </row>
    <row r="35" customFormat="false" ht="15" hidden="false" customHeight="false" outlineLevel="0" collapsed="false">
      <c r="A35" s="2" t="s">
        <v>65</v>
      </c>
      <c r="B35" s="7" t="n">
        <f aca="false">SUMIF(Cleaned_Data!E2:E151,"Priya Verma",Cleaned_Data!L2:L151)</f>
        <v>1281889</v>
      </c>
      <c r="C35" s="2" t="n">
        <f aca="false">COUNTIF(Cleaned_Data!E2:E151,"Priya Verma")</f>
        <v>12</v>
      </c>
      <c r="D35" s="7" t="n">
        <f aca="false">SUMIF(Cleaned_Data!E2:E151,"Priya Verma",Cleaned_Data!I2:I151)</f>
        <v>135</v>
      </c>
      <c r="E35" s="2"/>
    </row>
    <row r="36" customFormat="false" ht="15" hidden="false" customHeight="false" outlineLevel="0" collapsed="false">
      <c r="A36" s="2" t="s">
        <v>29</v>
      </c>
      <c r="B36" s="7" t="n">
        <f aca="false">SUMIF(Cleaned_Data!E2:E151,"Rohit Singh",Cleaned_Data!L2:L151)</f>
        <v>1224080.9</v>
      </c>
      <c r="C36" s="2" t="n">
        <f aca="false">COUNTIF(Cleaned_Data!E2:E151,"Rohit Singh")</f>
        <v>15</v>
      </c>
      <c r="D36" s="7" t="n">
        <f aca="false">SUMIF(Cleaned_Data!E2:E151,"Rohit Singh",Cleaned_Data!I2:I151)</f>
        <v>216</v>
      </c>
      <c r="E36" s="2"/>
    </row>
    <row r="37" customFormat="false" ht="15" hidden="false" customHeight="false" outlineLevel="0" collapsed="false">
      <c r="A37" s="2" t="s">
        <v>14</v>
      </c>
      <c r="B37" s="7" t="n">
        <f aca="false">SUMIF(Cleaned_Data!E2:E151,"Suresh Yadav",Cleaned_Data!L2:L151)</f>
        <v>1433717</v>
      </c>
      <c r="C37" s="2" t="n">
        <f aca="false">COUNTIF(Cleaned_Data!E2:E151,"Suresh Yadav")</f>
        <v>16</v>
      </c>
      <c r="D37" s="7" t="n">
        <f aca="false">SUMIF(Cleaned_Data!E2:E151,"Suresh Yadav",Cleaned_Data!I2:I151)</f>
        <v>263</v>
      </c>
      <c r="E37" s="2"/>
    </row>
    <row r="38" customFormat="false" ht="15" hidden="false" customHeight="false" outlineLevel="0" collapsed="false">
      <c r="A38" s="2" t="s">
        <v>221</v>
      </c>
      <c r="B38" s="7" t="n">
        <f aca="false">SUMIF(Cleaned_Data!E2:E151,"Unknown",Cleaned_Data!L2:L151)</f>
        <v>27360</v>
      </c>
      <c r="C38" s="2" t="n">
        <f aca="false">COUNTIF(Cleaned_Data!E2:E151,"Unknown")</f>
        <v>1</v>
      </c>
      <c r="D38" s="7" t="n">
        <f aca="false">SUMIF(Cleaned_Data!E2:E151,"Unknown",Cleaned_Data!I2:I151)</f>
        <v>16</v>
      </c>
      <c r="E38" s="2"/>
    </row>
    <row r="39" customFormat="false" ht="15" hidden="false" customHeight="false" outlineLevel="0" collapsed="false">
      <c r="A39" s="2" t="s">
        <v>21</v>
      </c>
      <c r="B39" s="7" t="n">
        <f aca="false">SUMIF(Cleaned_Data!E2:E151,"Vikas Jain",Cleaned_Data!L2:L151)</f>
        <v>2697107</v>
      </c>
      <c r="C39" s="2" t="n">
        <f aca="false">COUNTIF(Cleaned_Data!E2:E151,"Vikas Jain")</f>
        <v>25</v>
      </c>
      <c r="D39" s="7" t="n">
        <f aca="false">SUMIF(Cleaned_Data!E2:E151,"Vikas Jain",Cleaned_Data!I2:I151)</f>
        <v>369</v>
      </c>
      <c r="E39" s="2"/>
    </row>
    <row r="40" customFormat="false" ht="15" hidden="false" customHeight="false" outlineLevel="0" collapsed="false">
      <c r="A40" s="2"/>
      <c r="B40" s="2"/>
      <c r="C40" s="2"/>
      <c r="D40" s="2"/>
      <c r="E40" s="2"/>
    </row>
    <row r="41" customFormat="false" ht="15" hidden="false" customHeight="false" outlineLevel="0" collapsed="false">
      <c r="A41" s="2"/>
      <c r="B41" s="2"/>
      <c r="C41" s="2"/>
      <c r="D41" s="2"/>
      <c r="E41" s="2"/>
    </row>
    <row r="42" customFormat="false" ht="15" hidden="false" customHeight="false" outlineLevel="0" collapsed="false">
      <c r="A42" s="12" t="s">
        <v>236</v>
      </c>
      <c r="B42" s="2"/>
      <c r="C42" s="2"/>
      <c r="D42" s="2"/>
      <c r="E42" s="2"/>
    </row>
    <row r="43" customFormat="false" ht="15" hidden="false" customHeight="false" outlineLevel="0" collapsed="false">
      <c r="A43" s="13" t="s">
        <v>6</v>
      </c>
      <c r="B43" s="13" t="s">
        <v>229</v>
      </c>
      <c r="C43" s="13" t="s">
        <v>230</v>
      </c>
      <c r="D43" s="13" t="s">
        <v>231</v>
      </c>
      <c r="E43" s="2"/>
    </row>
    <row r="44" customFormat="false" ht="15" hidden="false" customHeight="false" outlineLevel="0" collapsed="false">
      <c r="A44" s="2" t="s">
        <v>86</v>
      </c>
      <c r="B44" s="7" t="n">
        <f aca="false">SUMIF(Cleaned_Data!G2:G151,"Laptop Pro 14",Cleaned_Data!L2:L151)</f>
        <v>4218125</v>
      </c>
      <c r="C44" s="2" t="n">
        <f aca="false">COUNTIF(Cleaned_Data!G2:G151,"Laptop Pro 14")</f>
        <v>6</v>
      </c>
      <c r="D44" s="7" t="n">
        <f aca="false">SUMIF(Cleaned_Data!G2:G151,"Laptop Pro 14",Cleaned_Data!I2:I151)</f>
        <v>103</v>
      </c>
      <c r="E44" s="2"/>
    </row>
    <row r="45" customFormat="false" ht="15" hidden="false" customHeight="false" outlineLevel="0" collapsed="false">
      <c r="A45" s="2" t="s">
        <v>91</v>
      </c>
      <c r="B45" s="7" t="n">
        <f aca="false">SUMIF(Cleaned_Data!G2:G151,"LED TV 32""",Cleaned_Data!L2:L151)</f>
        <v>2032900</v>
      </c>
      <c r="C45" s="2" t="n">
        <f aca="false">COUNTIF(Cleaned_Data!G2:G151,"LED TV 32""")</f>
        <v>9</v>
      </c>
      <c r="D45" s="7" t="n">
        <f aca="false">SUMIF(Cleaned_Data!G2:G151,"LED TV 32""",Cleaned_Data!I2:I151)</f>
        <v>144</v>
      </c>
      <c r="E45" s="2"/>
    </row>
    <row r="46" customFormat="false" ht="15" hidden="false" customHeight="false" outlineLevel="0" collapsed="false">
      <c r="A46" s="2" t="s">
        <v>79</v>
      </c>
      <c r="B46" s="7" t="n">
        <f aca="false">SUMIF(Cleaned_Data!G2:G151,"Water Purifier",Cleaned_Data!L2:L151)</f>
        <v>1241550</v>
      </c>
      <c r="C46" s="2" t="n">
        <f aca="false">COUNTIF(Cleaned_Data!G2:G151,"Water Purifier")</f>
        <v>12</v>
      </c>
      <c r="D46" s="7" t="n">
        <f aca="false">SUMIF(Cleaned_Data!G2:G151,"Water Purifier",Cleaned_Data!I2:I151)</f>
        <v>143</v>
      </c>
      <c r="E46" s="2"/>
    </row>
    <row r="47" customFormat="false" ht="15" hidden="false" customHeight="false" outlineLevel="0" collapsed="false">
      <c r="A47" s="2" t="s">
        <v>31</v>
      </c>
      <c r="B47" s="7" t="n">
        <f aca="false">SUMIF(Cleaned_Data!G2:G151,"Smartphone X1",Cleaned_Data!L2:L151)</f>
        <v>1182501.45</v>
      </c>
      <c r="C47" s="2" t="n">
        <f aca="false">COUNTIF(Cleaned_Data!G2:G151,"Smartphone X1")</f>
        <v>7</v>
      </c>
      <c r="D47" s="7" t="n">
        <f aca="false">SUMIF(Cleaned_Data!G2:G151,"Smartphone X1",Cleaned_Data!I2:I151)</f>
        <v>104</v>
      </c>
      <c r="E47" s="2"/>
    </row>
    <row r="48" customFormat="false" ht="15" hidden="false" customHeight="false" outlineLevel="0" collapsed="false">
      <c r="A48" s="2" t="s">
        <v>16</v>
      </c>
      <c r="B48" s="7" t="n">
        <f aca="false">SUMIF(Cleaned_Data!G2:G151,"Study Table",Cleaned_Data!L2:L151)</f>
        <v>1018550</v>
      </c>
      <c r="C48" s="2" t="n">
        <f aca="false">COUNTIF(Cleaned_Data!G2:G151,"Study Table")</f>
        <v>13</v>
      </c>
      <c r="D48" s="7" t="n">
        <f aca="false">SUMIF(Cleaned_Data!G2:G151,"Study Table",Cleaned_Data!I2:I151)</f>
        <v>161</v>
      </c>
      <c r="E48" s="2"/>
    </row>
    <row r="49" customFormat="false" ht="15" hidden="false" customHeight="false" outlineLevel="0" collapsed="false">
      <c r="A49" s="2" t="s">
        <v>49</v>
      </c>
      <c r="B49" s="7" t="n">
        <f aca="false">SUMIF(Cleaned_Data!G2:G151,"Office Chair",Cleaned_Data!L2:L151)</f>
        <v>648060</v>
      </c>
      <c r="C49" s="2" t="n">
        <f aca="false">COUNTIF(Cleaned_Data!G2:G151,"Office Chair")</f>
        <v>10</v>
      </c>
      <c r="D49" s="7" t="n">
        <f aca="false">SUMIF(Cleaned_Data!G2:G151,"Office Chair",Cleaned_Data!I2:I151)</f>
        <v>164</v>
      </c>
      <c r="E49" s="2"/>
    </row>
    <row r="50" customFormat="false" ht="15" hidden="false" customHeight="false" outlineLevel="0" collapsed="false">
      <c r="A50" s="2" t="s">
        <v>57</v>
      </c>
      <c r="B50" s="7" t="n">
        <f aca="false">SUMIF(Cleaned_Data!G2:G151,"Mixer Grinder",Cleaned_Data!L2:L151)</f>
        <v>585130</v>
      </c>
      <c r="C50" s="2" t="n">
        <f aca="false">COUNTIF(Cleaned_Data!G2:G151,"Mixer Grinder")</f>
        <v>14</v>
      </c>
      <c r="D50" s="7" t="n">
        <f aca="false">SUMIF(Cleaned_Data!G2:G151,"Mixer Grinder",Cleaned_Data!I2:I151)</f>
        <v>230</v>
      </c>
      <c r="E50" s="2"/>
    </row>
    <row r="51" customFormat="false" ht="15" hidden="false" customHeight="false" outlineLevel="0" collapsed="false">
      <c r="A51" s="2" t="s">
        <v>42</v>
      </c>
      <c r="B51" s="7" t="n">
        <f aca="false">SUMIF(Cleaned_Data!G2:G151,"Bookshelf",Cleaned_Data!L2:L151)</f>
        <v>452580</v>
      </c>
      <c r="C51" s="2" t="n">
        <f aca="false">COUNTIF(Cleaned_Data!G2:G151,"Bookshelf")</f>
        <v>13</v>
      </c>
      <c r="D51" s="7" t="n">
        <f aca="false">SUMIF(Cleaned_Data!G2:G151,"Bookshelf",Cleaned_Data!I2:I151)</f>
        <v>126</v>
      </c>
      <c r="E51" s="2"/>
    </row>
    <row r="52" customFormat="false" ht="15" hidden="false" customHeight="false" outlineLevel="0" collapsed="false">
      <c r="A52" s="2" t="s">
        <v>66</v>
      </c>
      <c r="B52" s="7" t="n">
        <f aca="false">SUMIF(Cleaned_Data!G2:G151,"Bluetooth Speaker",Cleaned_Data!L2:L151)</f>
        <v>217800</v>
      </c>
      <c r="C52" s="2" t="n">
        <f aca="false">COUNTIF(Cleaned_Data!G2:G151,"Bluetooth Speaker")</f>
        <v>9</v>
      </c>
      <c r="D52" s="7" t="n">
        <f aca="false">SUMIF(Cleaned_Data!G2:G151,"Bluetooth Speaker",Cleaned_Data!I2:I151)</f>
        <v>125</v>
      </c>
      <c r="E52" s="2"/>
    </row>
    <row r="53" customFormat="false" ht="15" hidden="false" customHeight="false" outlineLevel="0" collapsed="false">
      <c r="A53" s="2" t="s">
        <v>72</v>
      </c>
      <c r="B53" s="7" t="n">
        <f aca="false">SUMIF(Cleaned_Data!G2:G151,"Ceiling Fan",Cleaned_Data!L2:L151)</f>
        <v>190575</v>
      </c>
      <c r="C53" s="2" t="n">
        <f aca="false">COUNTIF(Cleaned_Data!G2:G151,"Ceiling Fan")</f>
        <v>9</v>
      </c>
      <c r="D53" s="7" t="n">
        <f aca="false">SUMIF(Cleaned_Data!G2:G151,"Ceiling Fan",Cleaned_Data!I2:I151)</f>
        <v>112</v>
      </c>
      <c r="E53" s="2"/>
    </row>
    <row r="54" customFormat="false" ht="15" hidden="false" customHeight="false" outlineLevel="0" collapsed="false">
      <c r="A54" s="2" t="s">
        <v>23</v>
      </c>
      <c r="B54" s="7" t="n">
        <f aca="false">SUMIF(Cleaned_Data!G2:G151,"Notebook Pack",Cleaned_Data!L2:L151)</f>
        <v>71592</v>
      </c>
      <c r="C54" s="2" t="n">
        <f aca="false">COUNTIF(Cleaned_Data!G2:G151,"Notebook Pack")</f>
        <v>24</v>
      </c>
      <c r="D54" s="7" t="n">
        <f aca="false">SUMIF(Cleaned_Data!G2:G151,"Notebook Pack",Cleaned_Data!I2:I151)</f>
        <v>306</v>
      </c>
      <c r="E54" s="2"/>
    </row>
    <row r="55" customFormat="false" ht="15" hidden="false" customHeight="false" outlineLevel="0" collapsed="false">
      <c r="A55" s="2" t="s">
        <v>35</v>
      </c>
      <c r="B55" s="7" t="n">
        <f aca="false">SUMIF(Cleaned_Data!G2:G151,"Printer Paper A4",Cleaned_Data!L2:L151)</f>
        <v>42912</v>
      </c>
      <c r="C55" s="2" t="n">
        <f aca="false">COUNTIF(Cleaned_Data!G2:G151,"Printer Paper A4")</f>
        <v>10</v>
      </c>
      <c r="D55" s="7" t="n">
        <f aca="false">SUMIF(Cleaned_Data!G2:G151,"Printer Paper A4",Cleaned_Data!I2:I151)</f>
        <v>137</v>
      </c>
      <c r="E55" s="2"/>
    </row>
    <row r="56" customFormat="false" ht="15" hidden="false" customHeight="false" outlineLevel="0" collapsed="false">
      <c r="A56" s="2" t="s">
        <v>47</v>
      </c>
      <c r="B56" s="7" t="n">
        <f aca="false">SUMIF(Cleaned_Data!G2:G151,"Pen Box",Cleaned_Data!L2:L151)</f>
        <v>20238</v>
      </c>
      <c r="C56" s="2" t="n">
        <f aca="false">COUNTIF(Cleaned_Data!G2:G151,"Pen Box")</f>
        <v>14</v>
      </c>
      <c r="D56" s="7" t="n">
        <f aca="false">SUMIF(Cleaned_Data!G2:G151,"Pen Box",Cleaned_Data!I2:I151)</f>
        <v>174</v>
      </c>
      <c r="E56" s="2"/>
    </row>
    <row r="57" customFormat="false" ht="15" hidden="false" customHeight="false" outlineLevel="0" collapsed="false">
      <c r="A57" s="2"/>
      <c r="B57" s="2"/>
      <c r="C57" s="2"/>
      <c r="D57" s="2"/>
      <c r="E57" s="2"/>
    </row>
    <row r="58" customFormat="false" ht="15" hidden="false" customHeight="false" outlineLevel="0" collapsed="false">
      <c r="A58" s="2"/>
      <c r="B58" s="2"/>
      <c r="C58" s="2"/>
      <c r="D58" s="2"/>
      <c r="E58" s="2"/>
    </row>
    <row r="59" customFormat="false" ht="15" hidden="false" customHeight="false" outlineLevel="0" collapsed="false">
      <c r="A59" s="12" t="s">
        <v>237</v>
      </c>
      <c r="B59" s="2"/>
      <c r="C59" s="2"/>
      <c r="D59" s="2"/>
      <c r="E59" s="2"/>
    </row>
    <row r="60" customFormat="false" ht="15" hidden="false" customHeight="false" outlineLevel="0" collapsed="false">
      <c r="A60" s="14" t="s">
        <v>238</v>
      </c>
      <c r="B60" s="14" t="s">
        <v>229</v>
      </c>
      <c r="C60" s="2"/>
      <c r="D60" s="2"/>
      <c r="E60" s="2"/>
    </row>
    <row r="61" customFormat="false" ht="15" hidden="false" customHeight="false" outlineLevel="0" collapsed="false">
      <c r="A61" s="2" t="s">
        <v>239</v>
      </c>
      <c r="B61" s="7" t="n">
        <f aca="false">SUMIF(Cleaned_Data!M2:M151,"Jan",Cleaned_Data!L2:L151)</f>
        <v>344314.9</v>
      </c>
      <c r="C61" s="2"/>
      <c r="D61" s="2"/>
      <c r="E61" s="2"/>
    </row>
    <row r="62" customFormat="false" ht="15" hidden="false" customHeight="false" outlineLevel="0" collapsed="false">
      <c r="A62" s="2" t="s">
        <v>240</v>
      </c>
      <c r="B62" s="7" t="n">
        <f aca="false">SUMIF(Cleaned_Data!M2:M151,"Feb",Cleaned_Data!L2:L151)</f>
        <v>262610</v>
      </c>
      <c r="C62" s="2"/>
      <c r="D62" s="2"/>
      <c r="E62" s="2"/>
    </row>
    <row r="63" customFormat="false" ht="15" hidden="false" customHeight="false" outlineLevel="0" collapsed="false">
      <c r="A63" s="2" t="s">
        <v>241</v>
      </c>
      <c r="B63" s="7" t="n">
        <f aca="false">SUMIF(Cleaned_Data!M2:M151,"Mar",Cleaned_Data!L2:L151)</f>
        <v>758452</v>
      </c>
      <c r="C63" s="2"/>
      <c r="D63" s="2"/>
      <c r="E63" s="2"/>
    </row>
    <row r="64" customFormat="false" ht="15" hidden="false" customHeight="false" outlineLevel="0" collapsed="false">
      <c r="A64" s="2" t="s">
        <v>242</v>
      </c>
      <c r="B64" s="7" t="n">
        <f aca="false">SUMIF(Cleaned_Data!M2:M151,"Apr",Cleaned_Data!L2:L151)</f>
        <v>1994588</v>
      </c>
      <c r="C64" s="2"/>
      <c r="D64" s="2"/>
      <c r="E64" s="2"/>
    </row>
    <row r="65" customFormat="false" ht="15" hidden="false" customHeight="false" outlineLevel="0" collapsed="false">
      <c r="A65" s="2" t="s">
        <v>243</v>
      </c>
      <c r="B65" s="7" t="n">
        <f aca="false">SUMIF(Cleaned_Data!M2:M151,"May",Cleaned_Data!L2:L151)</f>
        <v>529113</v>
      </c>
      <c r="C65" s="2"/>
      <c r="D65" s="2"/>
      <c r="E65" s="2"/>
    </row>
    <row r="66" customFormat="false" ht="15" hidden="false" customHeight="false" outlineLevel="0" collapsed="false">
      <c r="A66" s="2" t="s">
        <v>244</v>
      </c>
      <c r="B66" s="7" t="n">
        <f aca="false">SUMIF(Cleaned_Data!M2:M151,"Jun",Cleaned_Data!L2:L151)</f>
        <v>1662506</v>
      </c>
      <c r="C66" s="2"/>
      <c r="D66" s="2"/>
      <c r="E66" s="2"/>
    </row>
    <row r="67" customFormat="false" ht="15" hidden="false" customHeight="false" outlineLevel="0" collapsed="false">
      <c r="A67" s="2" t="s">
        <v>245</v>
      </c>
      <c r="B67" s="7" t="n">
        <f aca="false">SUMIF(Cleaned_Data!M2:M151,"Jul",Cleaned_Data!L2:L151)</f>
        <v>1620862.5</v>
      </c>
      <c r="C67" s="2"/>
      <c r="D67" s="2"/>
      <c r="E67" s="2"/>
    </row>
    <row r="68" customFormat="false" ht="15" hidden="false" customHeight="false" outlineLevel="0" collapsed="false">
      <c r="A68" s="2" t="s">
        <v>246</v>
      </c>
      <c r="B68" s="7" t="n">
        <f aca="false">SUMIF(Cleaned_Data!M2:M151,"Aug",Cleaned_Data!L2:L151)</f>
        <v>1670562</v>
      </c>
      <c r="C68" s="2"/>
      <c r="D68" s="2"/>
      <c r="E68" s="2"/>
    </row>
    <row r="69" customFormat="false" ht="15" hidden="false" customHeight="false" outlineLevel="0" collapsed="false">
      <c r="A69" s="2" t="s">
        <v>247</v>
      </c>
      <c r="B69" s="7" t="n">
        <f aca="false">SUMIF(Cleaned_Data!M2:M151,"Sep",Cleaned_Data!L2:L151)</f>
        <v>938496.8</v>
      </c>
      <c r="C69" s="2"/>
      <c r="D69" s="2"/>
      <c r="E69" s="2"/>
    </row>
    <row r="70" customFormat="false" ht="15" hidden="false" customHeight="false" outlineLevel="0" collapsed="false">
      <c r="A70" s="2" t="s">
        <v>248</v>
      </c>
      <c r="B70" s="7" t="n">
        <f aca="false">SUMIF(Cleaned_Data!M2:M151,"Oct",Cleaned_Data!L2:L151)</f>
        <v>570792.5</v>
      </c>
      <c r="C70" s="2"/>
      <c r="D70" s="2"/>
      <c r="E70" s="2"/>
    </row>
    <row r="71" customFormat="false" ht="15" hidden="false" customHeight="false" outlineLevel="0" collapsed="false">
      <c r="A71" s="2" t="s">
        <v>249</v>
      </c>
      <c r="B71" s="7" t="n">
        <f aca="false">SUMIF(Cleaned_Data!M2:M151,"Nov",Cleaned_Data!L2:L151)</f>
        <v>653355.75</v>
      </c>
      <c r="C71" s="2"/>
      <c r="D71" s="2"/>
      <c r="E71" s="2"/>
    </row>
    <row r="72" customFormat="false" ht="15" hidden="false" customHeight="false" outlineLevel="0" collapsed="false">
      <c r="A72" s="2" t="s">
        <v>250</v>
      </c>
      <c r="B72" s="7" t="n">
        <f aca="false">SUMIF(Cleaned_Data!M2:M151,"Dec",Cleaned_Data!L2:L151)</f>
        <v>916860</v>
      </c>
      <c r="C72" s="2"/>
      <c r="D72" s="2"/>
      <c r="E7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3"/>
  </cols>
  <sheetData>
    <row r="1" customFormat="false" ht="19.7" hidden="false" customHeight="false" outlineLevel="0" collapsed="false">
      <c r="A1" s="15" t="s">
        <v>251</v>
      </c>
      <c r="B1" s="15"/>
      <c r="C1" s="15"/>
      <c r="D1" s="15"/>
      <c r="E1" s="15"/>
      <c r="F1" s="15"/>
      <c r="G1" s="15"/>
      <c r="H1" s="15"/>
    </row>
    <row r="3" customFormat="false" ht="15" hidden="false" customHeight="false" outlineLevel="0" collapsed="false">
      <c r="A3" s="16" t="s">
        <v>223</v>
      </c>
      <c r="B3" s="16"/>
      <c r="C3" s="16" t="s">
        <v>224</v>
      </c>
      <c r="D3" s="16"/>
      <c r="E3" s="16" t="s">
        <v>225</v>
      </c>
      <c r="F3" s="16"/>
      <c r="G3" s="16" t="s">
        <v>226</v>
      </c>
      <c r="H3" s="16"/>
      <c r="I3" s="16" t="s">
        <v>227</v>
      </c>
      <c r="J3" s="16"/>
    </row>
    <row r="4" customFormat="false" ht="17.35" hidden="false" customHeight="false" outlineLevel="0" collapsed="false">
      <c r="A4" s="17" t="n">
        <f aca="false">Summary!A3</f>
        <v>11922513.45</v>
      </c>
      <c r="B4" s="17"/>
      <c r="C4" s="17" t="n">
        <f aca="false">Summary!B3</f>
        <v>150</v>
      </c>
      <c r="D4" s="17"/>
      <c r="E4" s="17" t="n">
        <f aca="false">Summary!C3</f>
        <v>2029</v>
      </c>
      <c r="F4" s="17"/>
      <c r="G4" s="17" t="n">
        <f aca="false">Summary!D3</f>
        <v>79483.423</v>
      </c>
      <c r="H4" s="17"/>
      <c r="I4" s="18" t="n">
        <f aca="false">Summary!E3</f>
        <v>0.0323333333333333</v>
      </c>
      <c r="J4" s="18"/>
    </row>
  </sheetData>
  <mergeCells count="11">
    <mergeCell ref="A1:H1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2026-06-24T05:43:45Z</dcterms:created>
  <dc:creator>openpyxl</dc:creator>
  <dc:description/>
  <dc:language>en-US</dc:language>
  <cp:lastModifiedBy/>
  <dcterms:modified xsi:type="dcterms:W3CDTF">2026-06-24T05:43:46Z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